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hidePivotFieldList="1" defaultThemeVersion="166925"/>
  <xr:revisionPtr revIDLastSave="0" documentId="8_{0DCBACF9-E894-4900-8D89-FFD575BF5DE6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Transactions" sheetId="1" r:id="rId1"/>
    <sheet name="Status by Team" sheetId="3" r:id="rId2"/>
    <sheet name="Status by Date" sheetId="4" r:id="rId3"/>
    <sheet name="Settlement Rate by Team" sheetId="5" r:id="rId4"/>
    <sheet name="Dashboard" sheetId="2" r:id="rId5"/>
    <sheet name="Detail1" sheetId="6" r:id="rId6"/>
    <sheet name="Detail2" sheetId="7" r:id="rId7"/>
  </sheets>
  <calcPr calcId="191028"/>
  <pivotCaches>
    <pivotCache cacheId="17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<sst xmlns="http://schemas.openxmlformats.org/spreadsheetml/2006/main" count="177" uniqueCount="65">
  <si>
    <t>Date</t>
  </si>
  <si>
    <t>TradeID</t>
  </si>
  <si>
    <t>Team</t>
  </si>
  <si>
    <t>Instrument</t>
  </si>
  <si>
    <t>Status</t>
  </si>
  <si>
    <t>Amount</t>
  </si>
  <si>
    <t>Settlement_Date</t>
  </si>
  <si>
    <t>Days_to_Settle</t>
  </si>
  <si>
    <t>Comments</t>
  </si>
  <si>
    <t>TRD001</t>
  </si>
  <si>
    <t>Equities</t>
  </si>
  <si>
    <t>INFY</t>
  </si>
  <si>
    <t>Settled</t>
  </si>
  <si>
    <t>TRD002</t>
  </si>
  <si>
    <t>RELIANCE</t>
  </si>
  <si>
    <t>TRD003</t>
  </si>
  <si>
    <t>Fixed Income</t>
  </si>
  <si>
    <t>HDFC</t>
  </si>
  <si>
    <t>TRD004</t>
  </si>
  <si>
    <t>TCS</t>
  </si>
  <si>
    <t>Pending</t>
  </si>
  <si>
    <t>Awaiting confirmation</t>
  </si>
  <si>
    <t>TRD005</t>
  </si>
  <si>
    <t>FX</t>
  </si>
  <si>
    <t>USD/INR</t>
  </si>
  <si>
    <t>TRD006</t>
  </si>
  <si>
    <t>ICICI</t>
  </si>
  <si>
    <t>Failed</t>
  </si>
  <si>
    <t>Client rejected</t>
  </si>
  <si>
    <t>TRD007</t>
  </si>
  <si>
    <t>SBI</t>
  </si>
  <si>
    <t>Missing docs</t>
  </si>
  <si>
    <t>TRD008</t>
  </si>
  <si>
    <t>AXIS</t>
  </si>
  <si>
    <t>TRD009</t>
  </si>
  <si>
    <t>Commodities</t>
  </si>
  <si>
    <t>GOLD</t>
  </si>
  <si>
    <t>TRD010</t>
  </si>
  <si>
    <t>EUR/INR</t>
  </si>
  <si>
    <t>Awaiting regulatory</t>
  </si>
  <si>
    <t>TRD011</t>
  </si>
  <si>
    <t>TRD012</t>
  </si>
  <si>
    <t>TRD013</t>
  </si>
  <si>
    <t>Price mismatch</t>
  </si>
  <si>
    <t>TRD014</t>
  </si>
  <si>
    <t>SILVER</t>
  </si>
  <si>
    <t>TRD015</t>
  </si>
  <si>
    <t>GBP/INR</t>
  </si>
  <si>
    <t>Waiting for client</t>
  </si>
  <si>
    <t>TRD016</t>
  </si>
  <si>
    <t>TRD017</t>
  </si>
  <si>
    <t>TRD018</t>
  </si>
  <si>
    <t>Regulatory hold</t>
  </si>
  <si>
    <t>TRD019</t>
  </si>
  <si>
    <t>WIPRO</t>
  </si>
  <si>
    <t>TRD020</t>
  </si>
  <si>
    <t>System error</t>
  </si>
  <si>
    <t>Count of TradeID</t>
  </si>
  <si>
    <t>Grand Total</t>
  </si>
  <si>
    <t>Total Transaction</t>
  </si>
  <si>
    <t>Settlement Rate %</t>
  </si>
  <si>
    <t>Pending Rate %</t>
  </si>
  <si>
    <t>Failed Rate %</t>
  </si>
  <si>
    <t>Details for Count of TradeID - Team: Commodities, Status: Settled</t>
  </si>
  <si>
    <t>Details for Count of TradeID - Team: Commodities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</si>
</sst>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0" fillId="0" borderId="0" xfId="0" applyNumberFormat="1"/>
    <xf numFmtId="0" fontId="0" fillId="0" borderId="0" xfId="0" pivotButton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4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Operations Control &amp; Reconciliation Tracker.xlsx]Status by Team!PivotTable1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'Status by Team'!$B$2:$B$3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by Team'!$A$4:$A$8</c:f>
              <c:strCache>
                <c:ptCount val="4"/>
                <c:pt idx="0">
                  <c:v>Commodities</c:v>
                </c:pt>
                <c:pt idx="1">
                  <c:v>Equities</c:v>
                </c:pt>
                <c:pt idx="2">
                  <c:v>Fixed Income</c:v>
                </c:pt>
                <c:pt idx="3">
                  <c:v>FX</c:v>
                </c:pt>
              </c:strCache>
            </c:strRef>
          </c:cat>
          <c:val>
            <c:numRef>
              <c:f>'Status by Team'!$B$4:$B$8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A-4D6D-97E7-4E553629F453}"/>
            </c:ext>
          </c:extLst>
        </c:ser>
        <c:ser>
          <c:idx val="1"/>
          <c:order val="1"/>
          <c:tx>
            <c:strRef>
              <c:f>'Status by Team'!$C$2:$C$3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by Team'!$A$4:$A$8</c:f>
              <c:strCache>
                <c:ptCount val="4"/>
                <c:pt idx="0">
                  <c:v>Commodities</c:v>
                </c:pt>
                <c:pt idx="1">
                  <c:v>Equities</c:v>
                </c:pt>
                <c:pt idx="2">
                  <c:v>Fixed Income</c:v>
                </c:pt>
                <c:pt idx="3">
                  <c:v>FX</c:v>
                </c:pt>
              </c:strCache>
            </c:strRef>
          </c:cat>
          <c:val>
            <c:numRef>
              <c:f>'Status by Team'!$C$4:$C$8</c:f>
              <c:numCache>
                <c:formatCode>General</c:formatCode>
                <c:ptCount val="4"/>
                <c:pt idx="1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4A-4D6D-97E7-4E553629F453}"/>
            </c:ext>
          </c:extLst>
        </c:ser>
        <c:ser>
          <c:idx val="2"/>
          <c:order val="2"/>
          <c:tx>
            <c:strRef>
              <c:f>'Status by Team'!$D$2:$D$3</c:f>
              <c:strCache>
                <c:ptCount val="1"/>
                <c:pt idx="0">
                  <c:v>Settled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by Team'!$A$4:$A$8</c:f>
              <c:strCache>
                <c:ptCount val="4"/>
                <c:pt idx="0">
                  <c:v>Commodities</c:v>
                </c:pt>
                <c:pt idx="1">
                  <c:v>Equities</c:v>
                </c:pt>
                <c:pt idx="2">
                  <c:v>Fixed Income</c:v>
                </c:pt>
                <c:pt idx="3">
                  <c:v>FX</c:v>
                </c:pt>
              </c:strCache>
            </c:strRef>
          </c:cat>
          <c:val>
            <c:numRef>
              <c:f>'Status by Team'!$D$4:$D$8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4A-4D6D-97E7-4E553629F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4986247"/>
        <c:axId val="2054988295"/>
      </c:barChart>
      <c:catAx>
        <c:axId val="2054986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988295"/>
        <c:crosses val="autoZero"/>
        <c:auto val="1"/>
        <c:lblAlgn val="ctr"/>
        <c:lblOffset val="100"/>
        <c:noMultiLvlLbl val="0"/>
      </c:catAx>
      <c:valAx>
        <c:axId val="2054988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986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Operations Control &amp; Reconciliation Tracker.xlsx]Status by Date!PivotTable2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'Status by Date'!$B$2:$B$3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'Status by Date'!$A$4:$A$11</c:f>
              <c:strCache>
                <c:ptCount val="7"/>
                <c:pt idx="0">
                  <c:v>1-Nov</c:v>
                </c:pt>
                <c:pt idx="1">
                  <c:v>2-Nov</c:v>
                </c:pt>
                <c:pt idx="2">
                  <c:v>3-Nov</c:v>
                </c:pt>
                <c:pt idx="3">
                  <c:v>4-Nov</c:v>
                </c:pt>
                <c:pt idx="4">
                  <c:v>5-Nov</c:v>
                </c:pt>
                <c:pt idx="5">
                  <c:v>6-Nov</c:v>
                </c:pt>
                <c:pt idx="6">
                  <c:v>7-Nov</c:v>
                </c:pt>
              </c:strCache>
            </c:strRef>
          </c:cat>
          <c:val>
            <c:numRef>
              <c:f>'Status by Date'!$B$4:$B$11</c:f>
              <c:numCache>
                <c:formatCode>General</c:formatCode>
                <c:ptCount val="7"/>
                <c:pt idx="1">
                  <c:v>1</c:v>
                </c:pt>
                <c:pt idx="4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A1-445C-8767-EE8404E8A0F5}"/>
            </c:ext>
          </c:extLst>
        </c:ser>
        <c:ser>
          <c:idx val="1"/>
          <c:order val="1"/>
          <c:tx>
            <c:strRef>
              <c:f>'Status by Date'!$C$2:$C$3</c:f>
              <c:strCache>
                <c:ptCount val="1"/>
                <c:pt idx="0">
                  <c:v>Pending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'Status by Date'!$A$4:$A$11</c:f>
              <c:strCache>
                <c:ptCount val="7"/>
                <c:pt idx="0">
                  <c:v>1-Nov</c:v>
                </c:pt>
                <c:pt idx="1">
                  <c:v>2-Nov</c:v>
                </c:pt>
                <c:pt idx="2">
                  <c:v>3-Nov</c:v>
                </c:pt>
                <c:pt idx="3">
                  <c:v>4-Nov</c:v>
                </c:pt>
                <c:pt idx="4">
                  <c:v>5-Nov</c:v>
                </c:pt>
                <c:pt idx="5">
                  <c:v>6-Nov</c:v>
                </c:pt>
                <c:pt idx="6">
                  <c:v>7-Nov</c:v>
                </c:pt>
              </c:strCache>
            </c:strRef>
          </c:cat>
          <c:val>
            <c:numRef>
              <c:f>'Status by Date'!$C$4:$C$11</c:f>
              <c:numCache>
                <c:formatCode>General</c:formatCode>
                <c:ptCount val="7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A1-445C-8767-EE8404E8A0F5}"/>
            </c:ext>
          </c:extLst>
        </c:ser>
        <c:ser>
          <c:idx val="2"/>
          <c:order val="2"/>
          <c:tx>
            <c:strRef>
              <c:f>'Status by Date'!$D$2:$D$3</c:f>
              <c:strCache>
                <c:ptCount val="1"/>
                <c:pt idx="0">
                  <c:v>Settled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'Status by Date'!$A$4:$A$11</c:f>
              <c:strCache>
                <c:ptCount val="7"/>
                <c:pt idx="0">
                  <c:v>1-Nov</c:v>
                </c:pt>
                <c:pt idx="1">
                  <c:v>2-Nov</c:v>
                </c:pt>
                <c:pt idx="2">
                  <c:v>3-Nov</c:v>
                </c:pt>
                <c:pt idx="3">
                  <c:v>4-Nov</c:v>
                </c:pt>
                <c:pt idx="4">
                  <c:v>5-Nov</c:v>
                </c:pt>
                <c:pt idx="5">
                  <c:v>6-Nov</c:v>
                </c:pt>
                <c:pt idx="6">
                  <c:v>7-Nov</c:v>
                </c:pt>
              </c:strCache>
            </c:strRef>
          </c:cat>
          <c:val>
            <c:numRef>
              <c:f>'Status by Date'!$D$4:$D$11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A1-445C-8767-EE8404E8A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837639"/>
        <c:axId val="2054994951"/>
      </c:lineChart>
      <c:catAx>
        <c:axId val="1648837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994951"/>
        <c:crosses val="autoZero"/>
        <c:auto val="1"/>
        <c:lblAlgn val="ctr"/>
        <c:lblOffset val="100"/>
        <c:noMultiLvlLbl val="0"/>
      </c:catAx>
      <c:valAx>
        <c:axId val="2054994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837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Operations Control &amp; Reconciliation Tracker.xlsx]Settlement Rate by Team!PivotTable3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'Settlement Rate by Team'!$B$2:$B$3</c:f>
              <c:strCache>
                <c:ptCount val="1"/>
                <c:pt idx="0">
                  <c:v>Failed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'Settlement Rate by Team'!$A$4:$A$8</c:f>
              <c:strCache>
                <c:ptCount val="4"/>
                <c:pt idx="0">
                  <c:v>Commodities</c:v>
                </c:pt>
                <c:pt idx="1">
                  <c:v>Equities</c:v>
                </c:pt>
                <c:pt idx="2">
                  <c:v>Fixed Income</c:v>
                </c:pt>
                <c:pt idx="3">
                  <c:v>FX</c:v>
                </c:pt>
              </c:strCache>
            </c:strRef>
          </c:cat>
          <c:val>
            <c:numRef>
              <c:f>'Settlement Rate by Team'!$B$4:$B$8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9-464C-8820-58CE467950D8}"/>
            </c:ext>
          </c:extLst>
        </c:ser>
        <c:ser>
          <c:idx val="1"/>
          <c:order val="1"/>
          <c:tx>
            <c:strRef>
              <c:f>'Settlement Rate by Team'!$C$2:$C$3</c:f>
              <c:strCache>
                <c:ptCount val="1"/>
                <c:pt idx="0">
                  <c:v>Pending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'Settlement Rate by Team'!$A$4:$A$8</c:f>
              <c:strCache>
                <c:ptCount val="4"/>
                <c:pt idx="0">
                  <c:v>Commodities</c:v>
                </c:pt>
                <c:pt idx="1">
                  <c:v>Equities</c:v>
                </c:pt>
                <c:pt idx="2">
                  <c:v>Fixed Income</c:v>
                </c:pt>
                <c:pt idx="3">
                  <c:v>FX</c:v>
                </c:pt>
              </c:strCache>
            </c:strRef>
          </c:cat>
          <c:val>
            <c:numRef>
              <c:f>'Settlement Rate by Team'!$C$4:$C$8</c:f>
              <c:numCache>
                <c:formatCode>General</c:formatCode>
                <c:ptCount val="4"/>
                <c:pt idx="1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F9-464C-8820-58CE467950D8}"/>
            </c:ext>
          </c:extLst>
        </c:ser>
        <c:ser>
          <c:idx val="2"/>
          <c:order val="2"/>
          <c:tx>
            <c:strRef>
              <c:f>'Settlement Rate by Team'!$D$2:$D$3</c:f>
              <c:strCache>
                <c:ptCount val="1"/>
                <c:pt idx="0">
                  <c:v>Settled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'Settlement Rate by Team'!$A$4:$A$8</c:f>
              <c:strCache>
                <c:ptCount val="4"/>
                <c:pt idx="0">
                  <c:v>Commodities</c:v>
                </c:pt>
                <c:pt idx="1">
                  <c:v>Equities</c:v>
                </c:pt>
                <c:pt idx="2">
                  <c:v>Fixed Income</c:v>
                </c:pt>
                <c:pt idx="3">
                  <c:v>FX</c:v>
                </c:pt>
              </c:strCache>
            </c:strRef>
          </c:cat>
          <c:val>
            <c:numRef>
              <c:f>'Settlement Rate by Team'!$D$4:$D$8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F9-464C-8820-58CE46795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Operations Control &amp; Reconciliation Tracker.xlsx]Status by Team!PivotTable1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by Team</a:t>
            </a:r>
          </a:p>
        </c:rich>
      </c:tx>
      <c:layout>
        <c:manualLayout>
          <c:xMode val="edge"/>
          <c:yMode val="edge"/>
          <c:x val="0.37288726026278518"/>
          <c:y val="3.37883326669769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'Status by Team'!$B$2:$B$3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by Team'!$A$4:$A$8</c:f>
              <c:strCache>
                <c:ptCount val="4"/>
                <c:pt idx="0">
                  <c:v>Commodities</c:v>
                </c:pt>
                <c:pt idx="1">
                  <c:v>Equities</c:v>
                </c:pt>
                <c:pt idx="2">
                  <c:v>Fixed Income</c:v>
                </c:pt>
                <c:pt idx="3">
                  <c:v>FX</c:v>
                </c:pt>
              </c:strCache>
            </c:strRef>
          </c:cat>
          <c:val>
            <c:numRef>
              <c:f>'Status by Team'!$B$4:$B$8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6-464A-B8A7-1DF98159B22B}"/>
            </c:ext>
          </c:extLst>
        </c:ser>
        <c:ser>
          <c:idx val="1"/>
          <c:order val="1"/>
          <c:tx>
            <c:strRef>
              <c:f>'Status by Team'!$C$2:$C$3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by Team'!$A$4:$A$8</c:f>
              <c:strCache>
                <c:ptCount val="4"/>
                <c:pt idx="0">
                  <c:v>Commodities</c:v>
                </c:pt>
                <c:pt idx="1">
                  <c:v>Equities</c:v>
                </c:pt>
                <c:pt idx="2">
                  <c:v>Fixed Income</c:v>
                </c:pt>
                <c:pt idx="3">
                  <c:v>FX</c:v>
                </c:pt>
              </c:strCache>
            </c:strRef>
          </c:cat>
          <c:val>
            <c:numRef>
              <c:f>'Status by Team'!$C$4:$C$8</c:f>
              <c:numCache>
                <c:formatCode>General</c:formatCode>
                <c:ptCount val="4"/>
                <c:pt idx="1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06-464A-B8A7-1DF98159B22B}"/>
            </c:ext>
          </c:extLst>
        </c:ser>
        <c:ser>
          <c:idx val="2"/>
          <c:order val="2"/>
          <c:tx>
            <c:strRef>
              <c:f>'Status by Team'!$D$2:$D$3</c:f>
              <c:strCache>
                <c:ptCount val="1"/>
                <c:pt idx="0">
                  <c:v>Settled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by Team'!$A$4:$A$8</c:f>
              <c:strCache>
                <c:ptCount val="4"/>
                <c:pt idx="0">
                  <c:v>Commodities</c:v>
                </c:pt>
                <c:pt idx="1">
                  <c:v>Equities</c:v>
                </c:pt>
                <c:pt idx="2">
                  <c:v>Fixed Income</c:v>
                </c:pt>
                <c:pt idx="3">
                  <c:v>FX</c:v>
                </c:pt>
              </c:strCache>
            </c:strRef>
          </c:cat>
          <c:val>
            <c:numRef>
              <c:f>'Status by Team'!$D$4:$D$8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06-464A-B8A7-1DF98159B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4986247"/>
        <c:axId val="2054988295"/>
      </c:barChart>
      <c:catAx>
        <c:axId val="2054986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988295"/>
        <c:crosses val="autoZero"/>
        <c:auto val="1"/>
        <c:lblAlgn val="ctr"/>
        <c:lblOffset val="100"/>
        <c:noMultiLvlLbl val="0"/>
      </c:catAx>
      <c:valAx>
        <c:axId val="2054988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986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Operations Control &amp; Reconciliation Tracker.xlsx]Status by Date!PivotTable2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Status Trend</a:t>
            </a:r>
          </a:p>
        </c:rich>
      </c:tx>
      <c:layout>
        <c:manualLayout>
          <c:xMode val="edge"/>
          <c:yMode val="edge"/>
          <c:x val="0.40288895603273134"/>
          <c:y val="3.53156330839836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'Status by Date'!$B$2:$B$3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'Status by Date'!$A$4:$A$11</c:f>
              <c:strCache>
                <c:ptCount val="7"/>
                <c:pt idx="0">
                  <c:v>1-Nov</c:v>
                </c:pt>
                <c:pt idx="1">
                  <c:v>2-Nov</c:v>
                </c:pt>
                <c:pt idx="2">
                  <c:v>3-Nov</c:v>
                </c:pt>
                <c:pt idx="3">
                  <c:v>4-Nov</c:v>
                </c:pt>
                <c:pt idx="4">
                  <c:v>5-Nov</c:v>
                </c:pt>
                <c:pt idx="5">
                  <c:v>6-Nov</c:v>
                </c:pt>
                <c:pt idx="6">
                  <c:v>7-Nov</c:v>
                </c:pt>
              </c:strCache>
            </c:strRef>
          </c:cat>
          <c:val>
            <c:numRef>
              <c:f>'Status by Date'!$B$4:$B$11</c:f>
              <c:numCache>
                <c:formatCode>General</c:formatCode>
                <c:ptCount val="7"/>
                <c:pt idx="1">
                  <c:v>1</c:v>
                </c:pt>
                <c:pt idx="4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9-41EA-A5FF-E5873624A65B}"/>
            </c:ext>
          </c:extLst>
        </c:ser>
        <c:ser>
          <c:idx val="1"/>
          <c:order val="1"/>
          <c:tx>
            <c:strRef>
              <c:f>'Status by Date'!$C$2:$C$3</c:f>
              <c:strCache>
                <c:ptCount val="1"/>
                <c:pt idx="0">
                  <c:v>Pending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'Status by Date'!$A$4:$A$11</c:f>
              <c:strCache>
                <c:ptCount val="7"/>
                <c:pt idx="0">
                  <c:v>1-Nov</c:v>
                </c:pt>
                <c:pt idx="1">
                  <c:v>2-Nov</c:v>
                </c:pt>
                <c:pt idx="2">
                  <c:v>3-Nov</c:v>
                </c:pt>
                <c:pt idx="3">
                  <c:v>4-Nov</c:v>
                </c:pt>
                <c:pt idx="4">
                  <c:v>5-Nov</c:v>
                </c:pt>
                <c:pt idx="5">
                  <c:v>6-Nov</c:v>
                </c:pt>
                <c:pt idx="6">
                  <c:v>7-Nov</c:v>
                </c:pt>
              </c:strCache>
            </c:strRef>
          </c:cat>
          <c:val>
            <c:numRef>
              <c:f>'Status by Date'!$C$4:$C$11</c:f>
              <c:numCache>
                <c:formatCode>General</c:formatCode>
                <c:ptCount val="7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B9-41EA-A5FF-E5873624A65B}"/>
            </c:ext>
          </c:extLst>
        </c:ser>
        <c:ser>
          <c:idx val="2"/>
          <c:order val="2"/>
          <c:tx>
            <c:strRef>
              <c:f>'Status by Date'!$D$2:$D$3</c:f>
              <c:strCache>
                <c:ptCount val="1"/>
                <c:pt idx="0">
                  <c:v>Settled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'Status by Date'!$A$4:$A$11</c:f>
              <c:strCache>
                <c:ptCount val="7"/>
                <c:pt idx="0">
                  <c:v>1-Nov</c:v>
                </c:pt>
                <c:pt idx="1">
                  <c:v>2-Nov</c:v>
                </c:pt>
                <c:pt idx="2">
                  <c:v>3-Nov</c:v>
                </c:pt>
                <c:pt idx="3">
                  <c:v>4-Nov</c:v>
                </c:pt>
                <c:pt idx="4">
                  <c:v>5-Nov</c:v>
                </c:pt>
                <c:pt idx="5">
                  <c:v>6-Nov</c:v>
                </c:pt>
                <c:pt idx="6">
                  <c:v>7-Nov</c:v>
                </c:pt>
              </c:strCache>
            </c:strRef>
          </c:cat>
          <c:val>
            <c:numRef>
              <c:f>'Status by Date'!$D$4:$D$11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B9-41EA-A5FF-E5873624A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837639"/>
        <c:axId val="2054994951"/>
      </c:lineChart>
      <c:catAx>
        <c:axId val="1648837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994951"/>
        <c:crosses val="autoZero"/>
        <c:auto val="1"/>
        <c:lblAlgn val="ctr"/>
        <c:lblOffset val="100"/>
        <c:noMultiLvlLbl val="0"/>
      </c:catAx>
      <c:valAx>
        <c:axId val="2054994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837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Operations Control &amp; Reconciliation Tracker.xlsx]Settlement Rate by Team!PivotTable3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'Settlement Rate by Team'!$B$2:$B$3</c:f>
              <c:strCache>
                <c:ptCount val="1"/>
                <c:pt idx="0">
                  <c:v>Failed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8D-4D7D-82BF-A8332D0819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8D-4D7D-82BF-A8332D0819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8D-4D7D-82BF-A8332D0819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48D-4D7D-82BF-A8332D081900}"/>
              </c:ext>
            </c:extLst>
          </c:dPt>
          <c:cat>
            <c:strRef>
              <c:f>'Settlement Rate by Team'!$A$4:$A$8</c:f>
              <c:strCache>
                <c:ptCount val="4"/>
                <c:pt idx="0">
                  <c:v>Commodities</c:v>
                </c:pt>
                <c:pt idx="1">
                  <c:v>Equities</c:v>
                </c:pt>
                <c:pt idx="2">
                  <c:v>Fixed Income</c:v>
                </c:pt>
                <c:pt idx="3">
                  <c:v>FX</c:v>
                </c:pt>
              </c:strCache>
            </c:strRef>
          </c:cat>
          <c:val>
            <c:numRef>
              <c:f>'Settlement Rate by Team'!$B$4:$B$8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8D-4D7D-82BF-A8332D081900}"/>
            </c:ext>
          </c:extLst>
        </c:ser>
        <c:ser>
          <c:idx val="1"/>
          <c:order val="1"/>
          <c:tx>
            <c:strRef>
              <c:f>'Settlement Rate by Team'!$C$2:$C$3</c:f>
              <c:strCache>
                <c:ptCount val="1"/>
                <c:pt idx="0">
                  <c:v>Pending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48D-4D7D-82BF-A8332D0819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48D-4D7D-82BF-A8332D0819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48D-4D7D-82BF-A8332D0819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48D-4D7D-82BF-A8332D081900}"/>
              </c:ext>
            </c:extLst>
          </c:dPt>
          <c:cat>
            <c:strRef>
              <c:f>'Settlement Rate by Team'!$A$4:$A$8</c:f>
              <c:strCache>
                <c:ptCount val="4"/>
                <c:pt idx="0">
                  <c:v>Commodities</c:v>
                </c:pt>
                <c:pt idx="1">
                  <c:v>Equities</c:v>
                </c:pt>
                <c:pt idx="2">
                  <c:v>Fixed Income</c:v>
                </c:pt>
                <c:pt idx="3">
                  <c:v>FX</c:v>
                </c:pt>
              </c:strCache>
            </c:strRef>
          </c:cat>
          <c:val>
            <c:numRef>
              <c:f>'Settlement Rate by Team'!$C$4:$C$8</c:f>
              <c:numCache>
                <c:formatCode>General</c:formatCode>
                <c:ptCount val="4"/>
                <c:pt idx="1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48D-4D7D-82BF-A8332D081900}"/>
            </c:ext>
          </c:extLst>
        </c:ser>
        <c:ser>
          <c:idx val="2"/>
          <c:order val="2"/>
          <c:tx>
            <c:strRef>
              <c:f>'Settlement Rate by Team'!$D$2:$D$3</c:f>
              <c:strCache>
                <c:ptCount val="1"/>
                <c:pt idx="0">
                  <c:v>Settled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48D-4D7D-82BF-A8332D0819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48D-4D7D-82BF-A8332D0819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48D-4D7D-82BF-A8332D0819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48D-4D7D-82BF-A8332D081900}"/>
              </c:ext>
            </c:extLst>
          </c:dPt>
          <c:cat>
            <c:strRef>
              <c:f>'Settlement Rate by Team'!$A$4:$A$8</c:f>
              <c:strCache>
                <c:ptCount val="4"/>
                <c:pt idx="0">
                  <c:v>Commodities</c:v>
                </c:pt>
                <c:pt idx="1">
                  <c:v>Equities</c:v>
                </c:pt>
                <c:pt idx="2">
                  <c:v>Fixed Income</c:v>
                </c:pt>
                <c:pt idx="3">
                  <c:v>FX</c:v>
                </c:pt>
              </c:strCache>
            </c:strRef>
          </c:cat>
          <c:val>
            <c:numRef>
              <c:f>'Settlement Rate by Team'!$D$4:$D$8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48D-4D7D-82BF-A8332D081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1</xdr:row>
      <xdr:rowOff>57150</xdr:rowOff>
    </xdr:from>
    <xdr:to>
      <xdr:col>12</xdr:col>
      <xdr:colOff>542925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7331B8-D317-2D8C-36C6-CB36D7001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409575</xdr:colOff>
      <xdr:row>2</xdr:row>
      <xdr:rowOff>66675</xdr:rowOff>
    </xdr:from>
    <xdr:to>
      <xdr:col>14</xdr:col>
      <xdr:colOff>104775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EF07A3-B370-D43B-A067-3821AFEBC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0</xdr:row>
      <xdr:rowOff>0</xdr:rowOff>
    </xdr:from>
    <xdr:to>
      <xdr:col>14</xdr:col>
      <xdr:colOff>76200</xdr:colOff>
      <xdr:row>14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8F12F8-1B0C-5BAD-5645-6ED6A71CD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8</xdr:row>
      <xdr:rowOff>123825</xdr:rowOff>
    </xdr:from>
    <xdr:to>
      <xdr:col>3</xdr:col>
      <xdr:colOff>238125</xdr:colOff>
      <xdr:row>21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74CD8E-FFC9-4946-AB19-D297B9B37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</xdr:colOff>
      <xdr:row>8</xdr:row>
      <xdr:rowOff>133350</xdr:rowOff>
    </xdr:from>
    <xdr:to>
      <xdr:col>10</xdr:col>
      <xdr:colOff>600075</xdr:colOff>
      <xdr:row>21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1B4431-C1A0-4FA1-B7FF-340F82250587}"/>
            </a:ext>
            <a:ext uri="{147F2762-F138-4A5C-976F-8EAC2B608ADB}">
              <a16:predDERef xmlns:a16="http://schemas.microsoft.com/office/drawing/2014/main" pred="{EE74CD8E-FFC9-4946-AB19-D297B9B37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9</xdr:row>
      <xdr:rowOff>0</xdr:rowOff>
    </xdr:from>
    <xdr:to>
      <xdr:col>16</xdr:col>
      <xdr:colOff>561975</xdr:colOff>
      <xdr:row>20</xdr:row>
      <xdr:rowOff>180975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9CAABC67-3E84-4A7B-AA60-AE30BA3F0E9A}"/>
            </a:ext>
            <a:ext uri="{147F2762-F138-4A5C-976F-8EAC2B608ADB}">
              <a16:predDERef xmlns:a16="http://schemas.microsoft.com/office/drawing/2014/main" pred="{071B4431-C1A0-4FA1-B7FF-340F82250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3.528552430558" createdVersion="8" refreshedVersion="8" minRefreshableVersion="3" recordCount="20" xr:uid="{5707F555-7744-4CE9-827C-9D541721E4A4}">
  <cacheSource type="worksheet">
    <worksheetSource ref="A2:I22" sheet="Transactions"/>
  </cacheSource>
  <cacheFields count="9">
    <cacheField name="Date" numFmtId="16">
      <sharedItems containsSemiMixedTypes="0" containsNonDate="0" containsDate="1" containsString="0" minDate="2026-11-01T00:00:00" maxDate="2026-11-08T00:00:00" count="7">
        <d v="2026-11-01T00:00:00"/>
        <d v="2026-11-02T00:00:00"/>
        <d v="2026-11-03T00:00:00"/>
        <d v="2026-11-04T00:00:00"/>
        <d v="2026-11-05T00:00:00"/>
        <d v="2026-11-06T00:00:00"/>
        <d v="2026-11-07T00:00:00"/>
      </sharedItems>
    </cacheField>
    <cacheField name="TradeID" numFmtId="0">
      <sharedItems/>
    </cacheField>
    <cacheField name="Team" numFmtId="0">
      <sharedItems count="4">
        <s v="Equities"/>
        <s v="Fixed Income"/>
        <s v="FX"/>
        <s v="Commodities"/>
      </sharedItems>
    </cacheField>
    <cacheField name="Instrument" numFmtId="0">
      <sharedItems/>
    </cacheField>
    <cacheField name="Status" numFmtId="0">
      <sharedItems count="3">
        <s v="Settled"/>
        <s v="Pending"/>
        <s v="Failed"/>
      </sharedItems>
    </cacheField>
    <cacheField name="Amount" numFmtId="0">
      <sharedItems containsSemiMixedTypes="0" containsString="0" containsNumber="1" containsInteger="1" minValue="246000" maxValue="1650750"/>
    </cacheField>
    <cacheField name="Settlement_Date" numFmtId="16">
      <sharedItems containsSemiMixedTypes="0" containsNonDate="0" containsDate="1" containsString="0" minDate="2026-11-02T00:00:00" maxDate="2026-11-11T00:00:00"/>
    </cacheField>
    <cacheField name="Days_to_Settle" numFmtId="0">
      <sharedItems containsSemiMixedTypes="0" containsString="0" containsNumber="1" containsInteger="1" minValue="1" maxValue="4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TRD001"/>
    <x v="0"/>
    <s v="INFY"/>
    <x v="0"/>
    <n v="925250"/>
    <d v="2026-11-02T00:00:00"/>
    <n v="1"/>
    <m/>
  </r>
  <r>
    <x v="0"/>
    <s v="TRD002"/>
    <x v="0"/>
    <s v="RELIANCE"/>
    <x v="0"/>
    <n v="490000"/>
    <d v="2026-11-02T00:00:00"/>
    <n v="1"/>
    <m/>
  </r>
  <r>
    <x v="0"/>
    <s v="TRD003"/>
    <x v="1"/>
    <s v="HDFC"/>
    <x v="0"/>
    <n v="1650750"/>
    <d v="2026-11-02T00:00:00"/>
    <n v="1"/>
    <m/>
  </r>
  <r>
    <x v="1"/>
    <s v="TRD004"/>
    <x v="0"/>
    <s v="TCS"/>
    <x v="1"/>
    <n v="1155000"/>
    <d v="2026-11-05T00:00:00"/>
    <n v="3"/>
    <s v="Awaiting confirmation"/>
  </r>
  <r>
    <x v="1"/>
    <s v="TRD005"/>
    <x v="2"/>
    <s v="USD/INR"/>
    <x v="0"/>
    <n v="780450"/>
    <d v="2026-11-03T00:00:00"/>
    <n v="1"/>
    <m/>
  </r>
  <r>
    <x v="1"/>
    <s v="TRD006"/>
    <x v="1"/>
    <s v="ICICI"/>
    <x v="2"/>
    <n v="896000"/>
    <d v="2026-11-04T00:00:00"/>
    <n v="2"/>
    <s v="Client rejected"/>
  </r>
  <r>
    <x v="2"/>
    <s v="TRD007"/>
    <x v="0"/>
    <s v="SBI"/>
    <x v="1"/>
    <n v="272000"/>
    <d v="2026-11-06T00:00:00"/>
    <n v="3"/>
    <s v="Missing docs"/>
  </r>
  <r>
    <x v="2"/>
    <s v="TRD008"/>
    <x v="0"/>
    <s v="AXIS"/>
    <x v="0"/>
    <n v="660000"/>
    <d v="2026-11-04T00:00:00"/>
    <n v="1"/>
    <m/>
  </r>
  <r>
    <x v="2"/>
    <s v="TRD009"/>
    <x v="3"/>
    <s v="GOLD"/>
    <x v="0"/>
    <n v="300000"/>
    <d v="2026-11-04T00:00:00"/>
    <n v="1"/>
    <m/>
  </r>
  <r>
    <x v="3"/>
    <s v="TRD010"/>
    <x v="2"/>
    <s v="EUR/INR"/>
    <x v="1"/>
    <n v="420000"/>
    <d v="2026-11-08T00:00:00"/>
    <n v="4"/>
    <s v="Awaiting regulatory"/>
  </r>
  <r>
    <x v="3"/>
    <s v="TRD011"/>
    <x v="0"/>
    <s v="INFY"/>
    <x v="0"/>
    <n v="1383750"/>
    <d v="2026-11-05T00:00:00"/>
    <n v="1"/>
    <m/>
  </r>
  <r>
    <x v="3"/>
    <s v="TRD012"/>
    <x v="1"/>
    <s v="RELIANCE"/>
    <x v="0"/>
    <n v="246000"/>
    <d v="2026-11-05T00:00:00"/>
    <n v="1"/>
    <m/>
  </r>
  <r>
    <x v="4"/>
    <s v="TRD013"/>
    <x v="0"/>
    <s v="HDFC"/>
    <x v="2"/>
    <n v="822500"/>
    <d v="2026-11-08T00:00:00"/>
    <n v="3"/>
    <s v="Price mismatch"/>
  </r>
  <r>
    <x v="4"/>
    <s v="TRD014"/>
    <x v="3"/>
    <s v="SILVER"/>
    <x v="0"/>
    <n v="772000"/>
    <d v="2026-11-06T00:00:00"/>
    <n v="1"/>
    <m/>
  </r>
  <r>
    <x v="4"/>
    <s v="TRD015"/>
    <x v="2"/>
    <s v="GBP/INR"/>
    <x v="1"/>
    <n v="525000"/>
    <d v="2026-11-09T00:00:00"/>
    <n v="4"/>
    <s v="Waiting for client"/>
  </r>
  <r>
    <x v="5"/>
    <s v="TRD016"/>
    <x v="0"/>
    <s v="TCS"/>
    <x v="0"/>
    <n v="1155000"/>
    <d v="2026-11-07T00:00:00"/>
    <n v="1"/>
    <m/>
  </r>
  <r>
    <x v="5"/>
    <s v="TRD017"/>
    <x v="1"/>
    <s v="ICICI"/>
    <x v="0"/>
    <n v="896000"/>
    <d v="2026-11-07T00:00:00"/>
    <n v="1"/>
    <m/>
  </r>
  <r>
    <x v="5"/>
    <s v="TRD018"/>
    <x v="2"/>
    <s v="USD/INR"/>
    <x v="1"/>
    <n v="780450"/>
    <d v="2026-11-10T00:00:00"/>
    <n v="4"/>
    <s v="Regulatory hold"/>
  </r>
  <r>
    <x v="6"/>
    <s v="TRD019"/>
    <x v="0"/>
    <s v="WIPRO"/>
    <x v="0"/>
    <n v="525000"/>
    <d v="2026-11-08T00:00:00"/>
    <n v="1"/>
    <m/>
  </r>
  <r>
    <x v="6"/>
    <s v="TRD020"/>
    <x v="3"/>
    <s v="GOLD"/>
    <x v="2"/>
    <n v="300000"/>
    <d v="2026-11-10T00:00:00"/>
    <n v="3"/>
    <s v="System err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66571-3F5B-4824-B80F-95C69A02A504}" name="PivotTable1" cacheId="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2:E8" firstHeaderRow="1" firstDataRow="2" firstDataCol="1"/>
  <pivotFields count="9">
    <pivotField compact="0" numFmtId="16" outline="0" showAll="0"/>
    <pivotField dataField="1"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  <pivotField compact="0" numFmtId="16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TradeID" fld="1" subtotal="count" baseField="0" baseItem="0"/>
  </dataFields>
  <chartFormats count="2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2EE1B-974D-41E1-BCC4-CB9993424FFE}" name="PivotTable2" cacheId="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2:E11" firstHeaderRow="1" firstDataRow="2" firstDataCol="1"/>
  <pivotFields count="9">
    <pivotField axis="axisRow" compact="0" numFmtId="16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  <pivotField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  <pivotField compact="0" numFmtId="16" outline="0" showAll="0"/>
    <pivotField compact="0" outline="0" showAll="0"/>
    <pivotField compact="0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TradeID" fld="1" subtotal="count" baseField="0" baseItem="0"/>
  </dataField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3A62F-AE2A-4D32-8B29-D3C2EBBAB4EB}" name="PivotTable3" cacheId="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2:E8" firstHeaderRow="1" firstDataRow="2" firstDataCol="1"/>
  <pivotFields count="9">
    <pivotField compact="0" numFmtId="16" outline="0" showAll="0"/>
    <pivotField dataField="1"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  <pivotField compact="0" numFmtId="16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TradeID" fld="1" subtotal="count" baseField="0" baseItem="0"/>
  </dataFields>
  <chartFormats count="153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2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2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4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4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4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4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5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5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5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5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5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5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5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5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5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7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7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7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7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7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7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7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8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8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8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8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8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8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8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8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8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1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1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1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1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1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10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10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10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10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  <chartFormat chart="11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11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11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11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11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11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11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11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11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11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11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  <chartFormat chart="12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12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12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12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12" format="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12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12" format="4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12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12" format="4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12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12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12" format="4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  <chartFormat chart="13" format="4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13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13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13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13" format="5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13" format="5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13" format="5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13" format="5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1"/>
          </reference>
        </references>
      </pivotArea>
    </chartFormat>
    <chartFormat chart="13" format="5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3" format="5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13" format="6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13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13" format="6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A7C63E-6BB8-43A5-A62E-F05258B58C01}" name="Table1" displayName="Table1" ref="A3:I5" totalsRowShown="0">
  <autoFilter ref="A3:I5" xr:uid="{60A7C63E-6BB8-43A5-A62E-F05258B58C01}"/>
  <tableColumns count="9">
    <tableColumn id="1" xr3:uid="{BCBEDDD4-C858-4A1F-B370-31AB83D4CBC9}" name="Date" dataDxfId="3"/>
    <tableColumn id="2" xr3:uid="{6D00280E-C348-456F-A86E-3A3C47A0ECB6}" name="TradeID"/>
    <tableColumn id="3" xr3:uid="{42129D1B-CB8E-4B80-8171-42DB6B12058B}" name="Team"/>
    <tableColumn id="4" xr3:uid="{DF35F612-4BE2-429C-A7CD-93ACB5FA4E20}" name="Instrument"/>
    <tableColumn id="5" xr3:uid="{5A195E4D-282B-4848-A773-EBF75A9A4360}" name="Status"/>
    <tableColumn id="6" xr3:uid="{C87BAFC5-D13A-4EF6-8946-220FCE8F98D3}" name="Amount"/>
    <tableColumn id="7" xr3:uid="{D5E69280-70E9-4896-9082-620082159362}" name="Settlement_Date" dataDxfId="2"/>
    <tableColumn id="8" xr3:uid="{97894584-BAFE-4A71-A495-A07CF5F7AF7F}" name="Days_to_Settle"/>
    <tableColumn id="9" xr3:uid="{699C33B9-5432-4FF4-A0E3-B36AD38526F4}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AAEB93-2AFB-4332-809C-3A4614543D5C}" name="Table2" displayName="Table2" ref="A3:I6" totalsRowShown="0">
  <autoFilter ref="A3:I6" xr:uid="{21AAEB93-2AFB-4332-809C-3A4614543D5C}"/>
  <tableColumns count="9">
    <tableColumn id="1" xr3:uid="{2DDDF18A-3D1A-46DC-8A10-C88396269324}" name="Date" dataDxfId="1"/>
    <tableColumn id="2" xr3:uid="{943930AE-92DE-4255-B22F-DA1358211EED}" name="TradeID"/>
    <tableColumn id="3" xr3:uid="{713BA7C9-EA86-4C43-A173-3583453557CC}" name="Team"/>
    <tableColumn id="4" xr3:uid="{FA1106CE-70B2-4804-994C-20CB6E2EF140}" name="Instrument"/>
    <tableColumn id="5" xr3:uid="{0177446D-08B7-439C-A0D1-F721541BEC21}" name="Status"/>
    <tableColumn id="6" xr3:uid="{87071EA7-CB37-45D2-9850-E4692FFACE96}" name="Amount"/>
    <tableColumn id="7" xr3:uid="{99DDAE58-19B8-40DB-A813-1D08C82CD1A8}" name="Settlement_Date" dataDxfId="0"/>
    <tableColumn id="8" xr3:uid="{0F1C2546-6C07-44DD-8653-686E65E2FE93}" name="Days_to_Settle"/>
    <tableColumn id="9" xr3:uid="{862CAF6A-998D-4653-9ED5-CC42ACD97BDF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2"/>
  <sheetViews>
    <sheetView workbookViewId="0">
      <selection activeCell="A2" sqref="A2:I22"/>
    </sheetView>
  </sheetViews>
  <sheetFormatPr defaultRowHeight="15"/>
  <cols>
    <col min="4" max="4" width="14.140625" customWidth="1"/>
    <col min="9" max="9" width="24.28515625" customWidth="1"/>
  </cols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1">
        <v>46327</v>
      </c>
      <c r="B3" t="s">
        <v>9</v>
      </c>
      <c r="C3" t="s">
        <v>10</v>
      </c>
      <c r="D3" t="s">
        <v>11</v>
      </c>
      <c r="E3" t="s">
        <v>12</v>
      </c>
      <c r="F3">
        <v>925250</v>
      </c>
      <c r="G3" s="1">
        <v>46328</v>
      </c>
      <c r="H3">
        <v>1</v>
      </c>
    </row>
    <row r="4" spans="1:9">
      <c r="A4" s="1">
        <v>46327</v>
      </c>
      <c r="B4" t="s">
        <v>13</v>
      </c>
      <c r="C4" t="s">
        <v>10</v>
      </c>
      <c r="D4" t="s">
        <v>14</v>
      </c>
      <c r="E4" t="s">
        <v>12</v>
      </c>
      <c r="F4">
        <v>490000</v>
      </c>
      <c r="G4" s="1">
        <v>46328</v>
      </c>
      <c r="H4">
        <v>1</v>
      </c>
    </row>
    <row r="5" spans="1:9">
      <c r="A5" s="1">
        <v>46327</v>
      </c>
      <c r="B5" t="s">
        <v>15</v>
      </c>
      <c r="C5" t="s">
        <v>16</v>
      </c>
      <c r="D5" t="s">
        <v>17</v>
      </c>
      <c r="E5" t="s">
        <v>12</v>
      </c>
      <c r="F5">
        <v>1650750</v>
      </c>
      <c r="G5" s="1">
        <v>46328</v>
      </c>
      <c r="H5">
        <v>1</v>
      </c>
    </row>
    <row r="6" spans="1:9">
      <c r="A6" s="1">
        <v>46328</v>
      </c>
      <c r="B6" t="s">
        <v>18</v>
      </c>
      <c r="C6" t="s">
        <v>10</v>
      </c>
      <c r="D6" t="s">
        <v>19</v>
      </c>
      <c r="E6" t="s">
        <v>20</v>
      </c>
      <c r="F6">
        <v>1155000</v>
      </c>
      <c r="G6" s="1">
        <v>46331</v>
      </c>
      <c r="H6">
        <v>3</v>
      </c>
      <c r="I6" t="s">
        <v>21</v>
      </c>
    </row>
    <row r="7" spans="1:9">
      <c r="A7" s="1">
        <v>46328</v>
      </c>
      <c r="B7" t="s">
        <v>22</v>
      </c>
      <c r="C7" t="s">
        <v>23</v>
      </c>
      <c r="D7" t="s">
        <v>24</v>
      </c>
      <c r="E7" t="s">
        <v>12</v>
      </c>
      <c r="F7">
        <v>780450</v>
      </c>
      <c r="G7" s="1">
        <v>46329</v>
      </c>
      <c r="H7">
        <v>1</v>
      </c>
    </row>
    <row r="8" spans="1:9">
      <c r="A8" s="1">
        <v>46328</v>
      </c>
      <c r="B8" t="s">
        <v>25</v>
      </c>
      <c r="C8" t="s">
        <v>16</v>
      </c>
      <c r="D8" t="s">
        <v>26</v>
      </c>
      <c r="E8" t="s">
        <v>27</v>
      </c>
      <c r="F8">
        <v>896000</v>
      </c>
      <c r="G8" s="1">
        <v>46330</v>
      </c>
      <c r="H8">
        <v>2</v>
      </c>
      <c r="I8" t="s">
        <v>28</v>
      </c>
    </row>
    <row r="9" spans="1:9">
      <c r="A9" s="1">
        <v>46329</v>
      </c>
      <c r="B9" t="s">
        <v>29</v>
      </c>
      <c r="C9" t="s">
        <v>10</v>
      </c>
      <c r="D9" t="s">
        <v>30</v>
      </c>
      <c r="E9" t="s">
        <v>20</v>
      </c>
      <c r="F9">
        <v>272000</v>
      </c>
      <c r="G9" s="1">
        <v>46332</v>
      </c>
      <c r="H9">
        <v>3</v>
      </c>
      <c r="I9" t="s">
        <v>31</v>
      </c>
    </row>
    <row r="10" spans="1:9">
      <c r="A10" s="1">
        <v>46329</v>
      </c>
      <c r="B10" t="s">
        <v>32</v>
      </c>
      <c r="C10" t="s">
        <v>10</v>
      </c>
      <c r="D10" t="s">
        <v>33</v>
      </c>
      <c r="E10" t="s">
        <v>12</v>
      </c>
      <c r="F10">
        <v>660000</v>
      </c>
      <c r="G10" s="1">
        <v>46330</v>
      </c>
      <c r="H10">
        <v>1</v>
      </c>
    </row>
    <row r="11" spans="1:9">
      <c r="A11" s="1">
        <v>46329</v>
      </c>
      <c r="B11" t="s">
        <v>34</v>
      </c>
      <c r="C11" t="s">
        <v>35</v>
      </c>
      <c r="D11" t="s">
        <v>36</v>
      </c>
      <c r="E11" t="s">
        <v>12</v>
      </c>
      <c r="F11">
        <v>300000</v>
      </c>
      <c r="G11" s="1">
        <v>46330</v>
      </c>
      <c r="H11">
        <v>1</v>
      </c>
    </row>
    <row r="12" spans="1:9">
      <c r="A12" s="1">
        <v>46330</v>
      </c>
      <c r="B12" t="s">
        <v>37</v>
      </c>
      <c r="C12" t="s">
        <v>23</v>
      </c>
      <c r="D12" t="s">
        <v>38</v>
      </c>
      <c r="E12" t="s">
        <v>20</v>
      </c>
      <c r="F12">
        <v>420000</v>
      </c>
      <c r="G12" s="1">
        <v>46334</v>
      </c>
      <c r="H12">
        <v>4</v>
      </c>
      <c r="I12" t="s">
        <v>39</v>
      </c>
    </row>
    <row r="13" spans="1:9">
      <c r="A13" s="1">
        <v>46330</v>
      </c>
      <c r="B13" t="s">
        <v>40</v>
      </c>
      <c r="C13" t="s">
        <v>10</v>
      </c>
      <c r="D13" t="s">
        <v>11</v>
      </c>
      <c r="E13" t="s">
        <v>12</v>
      </c>
      <c r="F13">
        <v>1383750</v>
      </c>
      <c r="G13" s="1">
        <v>46331</v>
      </c>
      <c r="H13">
        <v>1</v>
      </c>
    </row>
    <row r="14" spans="1:9">
      <c r="A14" s="1">
        <v>46330</v>
      </c>
      <c r="B14" t="s">
        <v>41</v>
      </c>
      <c r="C14" t="s">
        <v>16</v>
      </c>
      <c r="D14" t="s">
        <v>14</v>
      </c>
      <c r="E14" t="s">
        <v>12</v>
      </c>
      <c r="F14">
        <v>246000</v>
      </c>
      <c r="G14" s="1">
        <v>46331</v>
      </c>
      <c r="H14">
        <v>1</v>
      </c>
    </row>
    <row r="15" spans="1:9">
      <c r="A15" s="1">
        <v>46331</v>
      </c>
      <c r="B15" t="s">
        <v>42</v>
      </c>
      <c r="C15" t="s">
        <v>10</v>
      </c>
      <c r="D15" t="s">
        <v>17</v>
      </c>
      <c r="E15" t="s">
        <v>27</v>
      </c>
      <c r="F15">
        <v>822500</v>
      </c>
      <c r="G15" s="1">
        <v>46334</v>
      </c>
      <c r="H15">
        <v>3</v>
      </c>
      <c r="I15" t="s">
        <v>43</v>
      </c>
    </row>
    <row r="16" spans="1:9">
      <c r="A16" s="1">
        <v>46331</v>
      </c>
      <c r="B16" t="s">
        <v>44</v>
      </c>
      <c r="C16" t="s">
        <v>35</v>
      </c>
      <c r="D16" t="s">
        <v>45</v>
      </c>
      <c r="E16" t="s">
        <v>12</v>
      </c>
      <c r="F16">
        <v>772000</v>
      </c>
      <c r="G16" s="1">
        <v>46332</v>
      </c>
      <c r="H16">
        <v>1</v>
      </c>
    </row>
    <row r="17" spans="1:9">
      <c r="A17" s="1">
        <v>46331</v>
      </c>
      <c r="B17" t="s">
        <v>46</v>
      </c>
      <c r="C17" t="s">
        <v>23</v>
      </c>
      <c r="D17" t="s">
        <v>47</v>
      </c>
      <c r="E17" t="s">
        <v>20</v>
      </c>
      <c r="F17">
        <v>525000</v>
      </c>
      <c r="G17" s="1">
        <v>46335</v>
      </c>
      <c r="H17">
        <v>4</v>
      </c>
      <c r="I17" t="s">
        <v>48</v>
      </c>
    </row>
    <row r="18" spans="1:9">
      <c r="A18" s="1">
        <v>46332</v>
      </c>
      <c r="B18" t="s">
        <v>49</v>
      </c>
      <c r="C18" t="s">
        <v>10</v>
      </c>
      <c r="D18" t="s">
        <v>19</v>
      </c>
      <c r="E18" t="s">
        <v>12</v>
      </c>
      <c r="F18">
        <v>1155000</v>
      </c>
      <c r="G18" s="1">
        <v>46333</v>
      </c>
      <c r="H18">
        <v>1</v>
      </c>
    </row>
    <row r="19" spans="1:9">
      <c r="A19" s="1">
        <v>46332</v>
      </c>
      <c r="B19" t="s">
        <v>50</v>
      </c>
      <c r="C19" t="s">
        <v>16</v>
      </c>
      <c r="D19" t="s">
        <v>26</v>
      </c>
      <c r="E19" t="s">
        <v>12</v>
      </c>
      <c r="F19">
        <v>896000</v>
      </c>
      <c r="G19" s="1">
        <v>46333</v>
      </c>
      <c r="H19">
        <v>1</v>
      </c>
    </row>
    <row r="20" spans="1:9">
      <c r="A20" s="1">
        <v>46332</v>
      </c>
      <c r="B20" t="s">
        <v>51</v>
      </c>
      <c r="C20" t="s">
        <v>23</v>
      </c>
      <c r="D20" t="s">
        <v>24</v>
      </c>
      <c r="E20" t="s">
        <v>20</v>
      </c>
      <c r="F20">
        <v>780450</v>
      </c>
      <c r="G20" s="1">
        <v>46336</v>
      </c>
      <c r="H20">
        <v>4</v>
      </c>
      <c r="I20" t="s">
        <v>52</v>
      </c>
    </row>
    <row r="21" spans="1:9">
      <c r="A21" s="1">
        <v>46333</v>
      </c>
      <c r="B21" t="s">
        <v>53</v>
      </c>
      <c r="C21" t="s">
        <v>10</v>
      </c>
      <c r="D21" t="s">
        <v>54</v>
      </c>
      <c r="E21" t="s">
        <v>12</v>
      </c>
      <c r="F21">
        <v>525000</v>
      </c>
      <c r="G21" s="1">
        <v>46334</v>
      </c>
      <c r="H21">
        <v>1</v>
      </c>
    </row>
    <row r="22" spans="1:9">
      <c r="A22" s="1">
        <v>46333</v>
      </c>
      <c r="B22" t="s">
        <v>55</v>
      </c>
      <c r="C22" t="s">
        <v>35</v>
      </c>
      <c r="D22" t="s">
        <v>36</v>
      </c>
      <c r="E22" t="s">
        <v>27</v>
      </c>
      <c r="F22">
        <v>300000</v>
      </c>
      <c r="G22" s="1">
        <v>46336</v>
      </c>
      <c r="H22">
        <v>3</v>
      </c>
      <c r="I2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6708-8417-4A46-AD60-929A4ACF776B}">
  <dimension ref="A2:E8"/>
  <sheetViews>
    <sheetView workbookViewId="0">
      <selection activeCell="E5" sqref="A2:E8"/>
    </sheetView>
  </sheetViews>
  <sheetFormatPr defaultRowHeight="15"/>
  <cols>
    <col min="1" max="1" width="16.42578125" bestFit="1" customWidth="1"/>
    <col min="2" max="2" width="9.85546875" bestFit="1" customWidth="1"/>
    <col min="3" max="3" width="8.28515625" bestFit="1" customWidth="1"/>
    <col min="4" max="4" width="7.42578125" bestFit="1" customWidth="1"/>
    <col min="5" max="5" width="11.7109375" bestFit="1" customWidth="1"/>
  </cols>
  <sheetData>
    <row r="2" spans="1:5">
      <c r="A2" s="3" t="s">
        <v>57</v>
      </c>
      <c r="B2" s="3" t="s">
        <v>4</v>
      </c>
    </row>
    <row r="3" spans="1:5">
      <c r="A3" s="3" t="s">
        <v>2</v>
      </c>
      <c r="B3" t="s">
        <v>27</v>
      </c>
      <c r="C3" t="s">
        <v>20</v>
      </c>
      <c r="D3" t="s">
        <v>12</v>
      </c>
      <c r="E3" t="s">
        <v>58</v>
      </c>
    </row>
    <row r="4" spans="1:5">
      <c r="A4" t="s">
        <v>35</v>
      </c>
      <c r="B4" s="2">
        <v>1</v>
      </c>
      <c r="C4" s="2"/>
      <c r="D4" s="2">
        <v>2</v>
      </c>
      <c r="E4" s="2">
        <v>3</v>
      </c>
    </row>
    <row r="5" spans="1:5">
      <c r="A5" t="s">
        <v>10</v>
      </c>
      <c r="B5" s="2">
        <v>1</v>
      </c>
      <c r="C5" s="2">
        <v>2</v>
      </c>
      <c r="D5" s="2">
        <v>6</v>
      </c>
      <c r="E5" s="2">
        <v>9</v>
      </c>
    </row>
    <row r="6" spans="1:5">
      <c r="A6" t="s">
        <v>16</v>
      </c>
      <c r="B6" s="2">
        <v>1</v>
      </c>
      <c r="C6" s="2"/>
      <c r="D6" s="2">
        <v>3</v>
      </c>
      <c r="E6" s="2">
        <v>4</v>
      </c>
    </row>
    <row r="7" spans="1:5">
      <c r="A7" t="s">
        <v>23</v>
      </c>
      <c r="B7" s="2"/>
      <c r="C7" s="2">
        <v>3</v>
      </c>
      <c r="D7" s="2">
        <v>1</v>
      </c>
      <c r="E7" s="2">
        <v>4</v>
      </c>
    </row>
    <row r="8" spans="1:5">
      <c r="A8" t="s">
        <v>58</v>
      </c>
      <c r="B8" s="2">
        <v>3</v>
      </c>
      <c r="C8" s="2">
        <v>5</v>
      </c>
      <c r="D8" s="2">
        <v>12</v>
      </c>
      <c r="E8" s="2">
        <v>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031A-BE5F-4833-A688-0B7950D6F6C2}">
  <dimension ref="A2:E11"/>
  <sheetViews>
    <sheetView workbookViewId="0">
      <selection activeCell="E10" sqref="A2:E11"/>
    </sheetView>
  </sheetViews>
  <sheetFormatPr defaultRowHeight="15"/>
  <cols>
    <col min="1" max="1" width="16.42578125" bestFit="1" customWidth="1"/>
    <col min="2" max="2" width="9.85546875" bestFit="1" customWidth="1"/>
    <col min="3" max="3" width="8.28515625" bestFit="1" customWidth="1"/>
    <col min="4" max="4" width="7.42578125" bestFit="1" customWidth="1"/>
    <col min="5" max="5" width="11.7109375" bestFit="1" customWidth="1"/>
  </cols>
  <sheetData>
    <row r="2" spans="1:5">
      <c r="A2" s="3" t="s">
        <v>57</v>
      </c>
      <c r="B2" s="3" t="s">
        <v>4</v>
      </c>
    </row>
    <row r="3" spans="1:5">
      <c r="A3" s="3" t="s">
        <v>0</v>
      </c>
      <c r="B3" t="s">
        <v>27</v>
      </c>
      <c r="C3" t="s">
        <v>20</v>
      </c>
      <c r="D3" t="s">
        <v>12</v>
      </c>
      <c r="E3" t="s">
        <v>58</v>
      </c>
    </row>
    <row r="4" spans="1:5">
      <c r="A4" s="1">
        <v>46327</v>
      </c>
      <c r="B4" s="2"/>
      <c r="C4" s="2"/>
      <c r="D4" s="2">
        <v>3</v>
      </c>
      <c r="E4" s="2">
        <v>3</v>
      </c>
    </row>
    <row r="5" spans="1:5">
      <c r="A5" s="1">
        <v>46328</v>
      </c>
      <c r="B5" s="2">
        <v>1</v>
      </c>
      <c r="C5" s="2">
        <v>1</v>
      </c>
      <c r="D5" s="2">
        <v>1</v>
      </c>
      <c r="E5" s="2">
        <v>3</v>
      </c>
    </row>
    <row r="6" spans="1:5">
      <c r="A6" s="1">
        <v>46329</v>
      </c>
      <c r="B6" s="2"/>
      <c r="C6" s="2">
        <v>1</v>
      </c>
      <c r="D6" s="2">
        <v>2</v>
      </c>
      <c r="E6" s="2">
        <v>3</v>
      </c>
    </row>
    <row r="7" spans="1:5">
      <c r="A7" s="1">
        <v>46330</v>
      </c>
      <c r="B7" s="2"/>
      <c r="C7" s="2">
        <v>1</v>
      </c>
      <c r="D7" s="2">
        <v>2</v>
      </c>
      <c r="E7" s="2">
        <v>3</v>
      </c>
    </row>
    <row r="8" spans="1:5">
      <c r="A8" s="1">
        <v>46331</v>
      </c>
      <c r="B8" s="2">
        <v>1</v>
      </c>
      <c r="C8" s="2">
        <v>1</v>
      </c>
      <c r="D8" s="2">
        <v>1</v>
      </c>
      <c r="E8" s="2">
        <v>3</v>
      </c>
    </row>
    <row r="9" spans="1:5">
      <c r="A9" s="1">
        <v>46332</v>
      </c>
      <c r="B9" s="2"/>
      <c r="C9" s="2">
        <v>1</v>
      </c>
      <c r="D9" s="2">
        <v>2</v>
      </c>
      <c r="E9" s="2">
        <v>3</v>
      </c>
    </row>
    <row r="10" spans="1:5">
      <c r="A10" s="1">
        <v>46333</v>
      </c>
      <c r="B10" s="2">
        <v>1</v>
      </c>
      <c r="C10" s="2"/>
      <c r="D10" s="2">
        <v>1</v>
      </c>
      <c r="E10" s="2">
        <v>2</v>
      </c>
    </row>
    <row r="11" spans="1:5">
      <c r="A11" s="1" t="s">
        <v>58</v>
      </c>
      <c r="B11" s="2">
        <v>3</v>
      </c>
      <c r="C11" s="2">
        <v>5</v>
      </c>
      <c r="D11" s="2">
        <v>12</v>
      </c>
      <c r="E11" s="2">
        <v>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6F1B-0B88-44BC-9F5E-279418C570AC}">
  <dimension ref="A2:E8"/>
  <sheetViews>
    <sheetView workbookViewId="0">
      <selection activeCell="E8" sqref="A2:E8"/>
    </sheetView>
  </sheetViews>
  <sheetFormatPr defaultRowHeight="15"/>
  <cols>
    <col min="1" max="1" width="16.42578125" bestFit="1" customWidth="1"/>
    <col min="2" max="2" width="9.85546875" bestFit="1" customWidth="1"/>
    <col min="3" max="3" width="8.28515625" bestFit="1" customWidth="1"/>
    <col min="4" max="4" width="7.42578125" bestFit="1" customWidth="1"/>
    <col min="5" max="5" width="11.7109375" bestFit="1" customWidth="1"/>
  </cols>
  <sheetData>
    <row r="2" spans="1:5">
      <c r="A2" s="3" t="s">
        <v>57</v>
      </c>
      <c r="B2" s="3" t="s">
        <v>4</v>
      </c>
    </row>
    <row r="3" spans="1:5">
      <c r="A3" s="3" t="s">
        <v>2</v>
      </c>
      <c r="B3" t="s">
        <v>27</v>
      </c>
      <c r="C3" t="s">
        <v>20</v>
      </c>
      <c r="D3" t="s">
        <v>12</v>
      </c>
      <c r="E3" t="s">
        <v>58</v>
      </c>
    </row>
    <row r="4" spans="1:5">
      <c r="A4" t="s">
        <v>35</v>
      </c>
      <c r="B4" s="2">
        <v>1</v>
      </c>
      <c r="C4" s="2"/>
      <c r="D4" s="2">
        <v>2</v>
      </c>
      <c r="E4" s="2">
        <v>3</v>
      </c>
    </row>
    <row r="5" spans="1:5">
      <c r="A5" t="s">
        <v>10</v>
      </c>
      <c r="B5" s="2">
        <v>1</v>
      </c>
      <c r="C5" s="2">
        <v>2</v>
      </c>
      <c r="D5" s="2">
        <v>6</v>
      </c>
      <c r="E5" s="2">
        <v>9</v>
      </c>
    </row>
    <row r="6" spans="1:5">
      <c r="A6" t="s">
        <v>16</v>
      </c>
      <c r="B6" s="2">
        <v>1</v>
      </c>
      <c r="C6" s="2"/>
      <c r="D6" s="2">
        <v>3</v>
      </c>
      <c r="E6" s="2">
        <v>4</v>
      </c>
    </row>
    <row r="7" spans="1:5">
      <c r="A7" t="s">
        <v>23</v>
      </c>
      <c r="B7" s="2"/>
      <c r="C7" s="2">
        <v>3</v>
      </c>
      <c r="D7" s="2">
        <v>1</v>
      </c>
      <c r="E7" s="2">
        <v>4</v>
      </c>
    </row>
    <row r="8" spans="1:5">
      <c r="A8" t="s">
        <v>58</v>
      </c>
      <c r="B8" s="2">
        <v>3</v>
      </c>
      <c r="C8" s="2">
        <v>5</v>
      </c>
      <c r="D8" s="2">
        <v>12</v>
      </c>
      <c r="E8" s="2">
        <v>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DFF6-A053-4AF1-8DA4-C99AA5BAB676}">
  <dimension ref="B2:C8"/>
  <sheetViews>
    <sheetView tabSelected="1" workbookViewId="0">
      <selection activeCell="M10" sqref="M10"/>
    </sheetView>
  </sheetViews>
  <sheetFormatPr defaultRowHeight="15"/>
  <cols>
    <col min="2" max="2" width="20.140625" customWidth="1"/>
    <col min="3" max="3" width="17.85546875" customWidth="1"/>
  </cols>
  <sheetData>
    <row r="2" spans="2:3">
      <c r="B2" t="s">
        <v>59</v>
      </c>
      <c r="C2">
        <f>COUNTA(Transactions!B3:B22)</f>
        <v>20</v>
      </c>
    </row>
    <row r="3" spans="2:3">
      <c r="B3" t="s">
        <v>12</v>
      </c>
      <c r="C3">
        <f>COUNTIF(Transactions!E3:E22,"Settled")</f>
        <v>12</v>
      </c>
    </row>
    <row r="4" spans="2:3">
      <c r="B4" t="s">
        <v>20</v>
      </c>
      <c r="C4">
        <f>COUNTIF(Transactions!E3:E22,"Pending")</f>
        <v>5</v>
      </c>
    </row>
    <row r="5" spans="2:3">
      <c r="B5" t="s">
        <v>27</v>
      </c>
      <c r="C5">
        <f>COUNTIF(Transactions!E3:E22,"Failed")</f>
        <v>3</v>
      </c>
    </row>
    <row r="6" spans="2:3">
      <c r="B6" t="s">
        <v>60</v>
      </c>
      <c r="C6" s="2">
        <f>C3/C2*100</f>
        <v>60</v>
      </c>
    </row>
    <row r="7" spans="2:3">
      <c r="B7" t="s">
        <v>61</v>
      </c>
      <c r="C7" s="2">
        <f>C4/C2*100</f>
        <v>25</v>
      </c>
    </row>
    <row r="8" spans="2:3">
      <c r="B8" t="s">
        <v>62</v>
      </c>
      <c r="C8" s="2">
        <f>C5/C2*100</f>
        <v>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C787-D9BE-4C59-8908-65242CC77F4F}">
  <dimension ref="A1:I5"/>
  <sheetViews>
    <sheetView workbookViewId="0"/>
  </sheetViews>
  <sheetFormatPr defaultRowHeight="15"/>
  <cols>
    <col min="1" max="2" width="10.42578125" bestFit="1" customWidth="1"/>
    <col min="3" max="3" width="12.7109375" bestFit="1" customWidth="1"/>
    <col min="4" max="4" width="13.42578125" bestFit="1" customWidth="1"/>
    <col min="6" max="6" width="10.7109375" bestFit="1" customWidth="1"/>
    <col min="7" max="7" width="18.7109375" bestFit="1" customWidth="1"/>
    <col min="8" max="8" width="17" bestFit="1" customWidth="1"/>
    <col min="9" max="9" width="13" bestFit="1" customWidth="1"/>
  </cols>
  <sheetData>
    <row r="1" spans="1:9">
      <c r="A1" s="5" t="s">
        <v>63</v>
      </c>
    </row>
    <row r="3" spans="1: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>
      <c r="A4" s="4">
        <v>46331</v>
      </c>
      <c r="B4" t="s">
        <v>44</v>
      </c>
      <c r="C4" t="s">
        <v>35</v>
      </c>
      <c r="D4" t="s">
        <v>45</v>
      </c>
      <c r="E4" t="s">
        <v>12</v>
      </c>
      <c r="F4">
        <v>772000</v>
      </c>
      <c r="G4" s="4">
        <v>46332</v>
      </c>
      <c r="H4">
        <v>1</v>
      </c>
    </row>
    <row r="5" spans="1:9">
      <c r="A5" s="4">
        <v>46329</v>
      </c>
      <c r="B5" t="s">
        <v>34</v>
      </c>
      <c r="C5" t="s">
        <v>35</v>
      </c>
      <c r="D5" t="s">
        <v>36</v>
      </c>
      <c r="E5" t="s">
        <v>12</v>
      </c>
      <c r="F5">
        <v>300000</v>
      </c>
      <c r="G5" s="4">
        <v>46330</v>
      </c>
      <c r="H5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396B-BE59-49D9-B5FE-E35B91070E0C}">
  <dimension ref="A1:I6"/>
  <sheetViews>
    <sheetView workbookViewId="0"/>
  </sheetViews>
  <sheetFormatPr defaultRowHeight="15"/>
  <cols>
    <col min="1" max="2" width="10.42578125" bestFit="1" customWidth="1"/>
    <col min="3" max="3" width="12.7109375" bestFit="1" customWidth="1"/>
    <col min="4" max="4" width="13.42578125" bestFit="1" customWidth="1"/>
    <col min="6" max="6" width="10.7109375" bestFit="1" customWidth="1"/>
    <col min="7" max="7" width="18.7109375" bestFit="1" customWidth="1"/>
    <col min="8" max="8" width="17" bestFit="1" customWidth="1"/>
    <col min="9" max="9" width="13" bestFit="1" customWidth="1"/>
  </cols>
  <sheetData>
    <row r="1" spans="1:9">
      <c r="A1" s="5" t="s">
        <v>64</v>
      </c>
    </row>
    <row r="3" spans="1: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>
      <c r="A4" s="4">
        <v>46333</v>
      </c>
      <c r="B4" t="s">
        <v>55</v>
      </c>
      <c r="C4" t="s">
        <v>35</v>
      </c>
      <c r="D4" t="s">
        <v>36</v>
      </c>
      <c r="E4" t="s">
        <v>27</v>
      </c>
      <c r="F4">
        <v>300000</v>
      </c>
      <c r="G4" s="4">
        <v>46336</v>
      </c>
      <c r="H4">
        <v>3</v>
      </c>
      <c r="I4" t="s">
        <v>56</v>
      </c>
    </row>
    <row r="5" spans="1:9">
      <c r="A5" s="4">
        <v>46331</v>
      </c>
      <c r="B5" t="s">
        <v>44</v>
      </c>
      <c r="C5" t="s">
        <v>35</v>
      </c>
      <c r="D5" t="s">
        <v>45</v>
      </c>
      <c r="E5" t="s">
        <v>12</v>
      </c>
      <c r="F5">
        <v>772000</v>
      </c>
      <c r="G5" s="4">
        <v>46332</v>
      </c>
      <c r="H5">
        <v>1</v>
      </c>
    </row>
    <row r="6" spans="1:9">
      <c r="A6" s="4">
        <v>46329</v>
      </c>
      <c r="B6" t="s">
        <v>34</v>
      </c>
      <c r="C6" t="s">
        <v>35</v>
      </c>
      <c r="D6" t="s">
        <v>36</v>
      </c>
      <c r="E6" t="s">
        <v>12</v>
      </c>
      <c r="F6">
        <v>300000</v>
      </c>
      <c r="G6" s="4">
        <v>46330</v>
      </c>
      <c r="H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2026-09-08T05:36:05Z</dcterms:created>
  <dcterms:modified xsi:type="dcterms:W3CDTF">2026-09-08T07:33:09Z</dcterms:modified>
  <cp:category/>
  <cp:contentStatus/>
</cp:coreProperties>
</file>