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D80C3116-9FFD-4245-BAB3-CBDAB51F3E8B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Trades_Internal (Bank Records)" sheetId="1" r:id="rId1"/>
    <sheet name="Trades_External (Client Record)" sheetId="2" r:id="rId2"/>
    <sheet name="Reconciliation xlookup" sheetId="4" r:id="rId3"/>
    <sheet name="Reconciliation" sheetId="3" r:id="rId4"/>
    <sheet name="Exceptions" sheetId="5" r:id="rId5"/>
    <sheet name="Detail1" sheetId="7" r:id="rId6"/>
    <sheet name="Dashboard" sheetId="6" r:id="rId7"/>
  </sheets>
  <calcPr calcId="191028"/>
  <pivotCaches>
    <pivotCache cacheId="58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6" l="1"/>
  <c r="E7" i="6"/>
  <c r="E4" i="6"/>
  <c r="E5" i="6"/>
  <c r="E3" i="6"/>
  <c r="A7" i="5" a="1"/>
  <c r="A7" i="5"/>
  <c r="A4" i="5" a="1"/>
  <c r="A4" i="5"/>
  <c r="A1" i="5" a="1"/>
  <c r="A1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" i="4"/>
  <c r="L2" i="3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J2" i="4"/>
  <c r="I2" i="4"/>
  <c r="H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" i="3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G2" i="3"/>
  <c r="F2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D2" i="3"/>
  <c r="C2" i="3"/>
  <c r="B2" i="3"/>
  <c r="A21" i="3"/>
  <c r="A11" i="3"/>
  <c r="A12" i="3"/>
  <c r="A13" i="3"/>
  <c r="A14" i="3"/>
  <c r="A15" i="3"/>
  <c r="A16" i="3"/>
  <c r="A17" i="3"/>
  <c r="A18" i="3"/>
  <c r="A19" i="3"/>
  <c r="A20" i="3"/>
  <c r="A3" i="3"/>
  <c r="A4" i="3"/>
  <c r="A5" i="3"/>
  <c r="A6" i="3"/>
  <c r="A7" i="3"/>
  <c r="A8" i="3"/>
  <c r="A9" i="3"/>
  <c r="A10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<sst xmlns="http://schemas.openxmlformats.org/spreadsheetml/2006/main" count="271" uniqueCount="69">
  <si>
    <t>TradeID</t>
  </si>
  <si>
    <t>Trade_Date</t>
  </si>
  <si>
    <t>Instrument</t>
  </si>
  <si>
    <t>Buy/Sell</t>
  </si>
  <si>
    <t>Quantity</t>
  </si>
  <si>
    <t>Price</t>
  </si>
  <si>
    <t>Counterparty</t>
  </si>
  <si>
    <t>Status</t>
  </si>
  <si>
    <t>TRD001</t>
  </si>
  <si>
    <t>INFY</t>
  </si>
  <si>
    <t>Buy</t>
  </si>
  <si>
    <t>Goldman Sachs</t>
  </si>
  <si>
    <t>Settled</t>
  </si>
  <si>
    <t>TRD002</t>
  </si>
  <si>
    <t>RELIANCE</t>
  </si>
  <si>
    <t>Sell</t>
  </si>
  <si>
    <t>JP Morgan</t>
  </si>
  <si>
    <t>TRD003</t>
  </si>
  <si>
    <t>HDFC</t>
  </si>
  <si>
    <t>Morgan Stanley</t>
  </si>
  <si>
    <t>TRD004</t>
  </si>
  <si>
    <t>TCS</t>
  </si>
  <si>
    <t>Citibank</t>
  </si>
  <si>
    <t>Pending</t>
  </si>
  <si>
    <t>TRD005</t>
  </si>
  <si>
    <t>WIPRO</t>
  </si>
  <si>
    <t>TRD006</t>
  </si>
  <si>
    <t>ICICI</t>
  </si>
  <si>
    <t>Barclays</t>
  </si>
  <si>
    <t>Failed</t>
  </si>
  <si>
    <t>TRD007</t>
  </si>
  <si>
    <t>SBI</t>
  </si>
  <si>
    <t>TRD008</t>
  </si>
  <si>
    <t>AXIS</t>
  </si>
  <si>
    <t>TRD009</t>
  </si>
  <si>
    <t>TATASTEEL</t>
  </si>
  <si>
    <t>TRD010</t>
  </si>
  <si>
    <t>HCL</t>
  </si>
  <si>
    <t>TRD011</t>
  </si>
  <si>
    <t>TRD012</t>
  </si>
  <si>
    <t>TRD013</t>
  </si>
  <si>
    <t>TRD014</t>
  </si>
  <si>
    <t>TRD015</t>
  </si>
  <si>
    <t>TRD016</t>
  </si>
  <si>
    <t>TRD017</t>
  </si>
  <si>
    <t>TRD018</t>
  </si>
  <si>
    <t>TRD019</t>
  </si>
  <si>
    <t>TRD020</t>
  </si>
  <si>
    <t>Ext_QTY</t>
  </si>
  <si>
    <t>Ext_price</t>
  </si>
  <si>
    <t>Ext_status</t>
  </si>
  <si>
    <t>Int_QTY</t>
  </si>
  <si>
    <t>Int_price</t>
  </si>
  <si>
    <t>Int_status</t>
  </si>
  <si>
    <t>QTY_match</t>
  </si>
  <si>
    <t>price_match</t>
  </si>
  <si>
    <t>staus_match</t>
  </si>
  <si>
    <t>overall</t>
  </si>
  <si>
    <t>Details for Count of overall - staus_match: Mismatch</t>
  </si>
  <si>
    <t>Field11</t>
  </si>
  <si>
    <t>Match</t>
  </si>
  <si>
    <t>Mismatch</t>
  </si>
  <si>
    <t>Exception</t>
  </si>
  <si>
    <t>Total Trades</t>
  </si>
  <si>
    <t>Matched Trades</t>
  </si>
  <si>
    <t>Grand Total</t>
  </si>
  <si>
    <t>Count of TradeID</t>
  </si>
  <si>
    <t>Match Rate %</t>
  </si>
  <si>
    <t>Exception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</si>
</sst>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2" fillId="3" borderId="1" applyNumberFormat="0" applyFont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3" fillId="2" borderId="0" xfId="1"/>
    <xf numFmtId="0" fontId="1" fillId="4" borderId="0" xfId="3"/>
    <xf numFmtId="0" fontId="0" fillId="3" borderId="1" xfId="2" applyFont="1"/>
    <xf numFmtId="0" fontId="0" fillId="0" borderId="0" xfId="0" applyNumberFormat="1"/>
    <xf numFmtId="0" fontId="0" fillId="0" borderId="0" xfId="0" pivotButton="1"/>
    <xf numFmtId="0" fontId="4" fillId="0" borderId="0" xfId="0" applyFont="1"/>
  </cellXfs>
  <cellStyles count="4">
    <cellStyle name="20% - Accent1" xfId="3" builtinId="30"/>
    <cellStyle name="Neutral" xfId="1" builtinId="28"/>
    <cellStyle name="Normal" xfId="0" builtinId="0"/>
    <cellStyle name="Note" xfId="2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3.520116782405" createdVersion="8" refreshedVersion="8" minRefreshableVersion="3" recordCount="20" xr:uid="{1A5C3949-C317-4AED-B1A7-CC7431731217}">
  <cacheSource type="worksheet">
    <worksheetSource ref="A1:L21" sheet="Reconciliation"/>
  </cacheSource>
  <cacheFields count="12">
    <cacheField name="TradeID" numFmtId="0">
      <sharedItems/>
    </cacheField>
    <cacheField name="Ext_QTY" numFmtId="0">
      <sharedItems containsSemiMixedTypes="0" containsString="0" containsNumber="1" containsInteger="1" minValue="100" maxValue="2000"/>
    </cacheField>
    <cacheField name="Ext_price" numFmtId="0">
      <sharedItems containsSemiMixedTypes="0" containsString="0" containsNumber="1" minValue="150" maxValue="3860"/>
    </cacheField>
    <cacheField name="Ext_status" numFmtId="0">
      <sharedItems/>
    </cacheField>
    <cacheField name="Int_QTY" numFmtId="0">
      <sharedItems containsSemiMixedTypes="0" containsString="0" containsNumber="1" containsInteger="1" minValue="100" maxValue="2000"/>
    </cacheField>
    <cacheField name="Int_price" numFmtId="0">
      <sharedItems containsSemiMixedTypes="0" containsString="0" containsNumber="1" minValue="150" maxValue="3860"/>
    </cacheField>
    <cacheField name="Int_status" numFmtId="0">
      <sharedItems/>
    </cacheField>
    <cacheField name="QTY_match" numFmtId="0">
      <sharedItems/>
    </cacheField>
    <cacheField name="price_match" numFmtId="0">
      <sharedItems/>
    </cacheField>
    <cacheField name="staus_match" numFmtId="0">
      <sharedItems count="2">
        <s v="Match"/>
        <s v="Mismatch"/>
      </sharedItems>
    </cacheField>
    <cacheField name="Field11" caption="Field11" numFmtId="0">
      <sharedItems containsNonDate="0" containsString="0" containsBlank="1"/>
    </cacheField>
    <cacheField name="overall" numFmtId="0">
      <sharedItems count="2">
        <s v="OK"/>
        <s v="Excep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TRD001"/>
    <n v="500"/>
    <n v="1850.5"/>
    <s v="Settled"/>
    <n v="500"/>
    <n v="1850.5"/>
    <s v="Settled"/>
    <s v="Match"/>
    <s v="Match"/>
    <x v="0"/>
    <m/>
    <x v="0"/>
  </r>
  <r>
    <s v="TRD002"/>
    <n v="200"/>
    <n v="2450"/>
    <s v="Settled"/>
    <n v="200"/>
    <n v="2450"/>
    <s v="Settled"/>
    <s v="Match"/>
    <s v="Match"/>
    <x v="0"/>
    <m/>
    <x v="0"/>
  </r>
  <r>
    <s v="TRD003"/>
    <n v="1000"/>
    <n v="1650.75"/>
    <s v="Settled"/>
    <n v="1000"/>
    <n v="1650.75"/>
    <s v="Settled"/>
    <s v="Match"/>
    <s v="Match"/>
    <x v="0"/>
    <m/>
    <x v="0"/>
  </r>
  <r>
    <s v="TRD004"/>
    <n v="300"/>
    <n v="3850"/>
    <s v="Pending"/>
    <n v="300"/>
    <n v="3850"/>
    <s v="Pending"/>
    <s v="Match"/>
    <s v="Match"/>
    <x v="0"/>
    <m/>
    <x v="0"/>
  </r>
  <r>
    <s v="TRD005"/>
    <n v="1500"/>
    <n v="520.29999999999995"/>
    <s v="Settled"/>
    <n v="1500"/>
    <n v="520.29999999999995"/>
    <s v="Settled"/>
    <s v="Match"/>
    <s v="Match"/>
    <x v="0"/>
    <m/>
    <x v="0"/>
  </r>
  <r>
    <s v="TRD006"/>
    <n v="800"/>
    <n v="1120"/>
    <s v="Settled"/>
    <n v="800"/>
    <n v="1120"/>
    <s v="Failed"/>
    <s v="Match"/>
    <s v="Match"/>
    <x v="1"/>
    <m/>
    <x v="1"/>
  </r>
  <r>
    <s v="TRD007"/>
    <n v="400"/>
    <n v="680"/>
    <s v="Pending"/>
    <n v="400"/>
    <n v="680"/>
    <s v="Pending"/>
    <s v="Match"/>
    <s v="Match"/>
    <x v="0"/>
    <m/>
    <x v="0"/>
  </r>
  <r>
    <s v="TRD008"/>
    <n v="600"/>
    <n v="1100"/>
    <s v="Settled"/>
    <n v="600"/>
    <n v="1100"/>
    <s v="Settled"/>
    <s v="Match"/>
    <s v="Match"/>
    <x v="0"/>
    <m/>
    <x v="0"/>
  </r>
  <r>
    <s v="TRD009"/>
    <n v="2000"/>
    <n v="150"/>
    <s v="Settled"/>
    <n v="2000"/>
    <n v="150"/>
    <s v="Settled"/>
    <s v="Match"/>
    <s v="Match"/>
    <x v="0"/>
    <m/>
    <x v="0"/>
  </r>
  <r>
    <s v="TRD010"/>
    <n v="250"/>
    <n v="1680"/>
    <s v="Pending"/>
    <n v="250"/>
    <n v="1680"/>
    <s v="Pending"/>
    <s v="Match"/>
    <s v="Match"/>
    <x v="0"/>
    <m/>
    <x v="0"/>
  </r>
  <r>
    <s v="TRD011"/>
    <n v="750"/>
    <n v="1845"/>
    <s v="Settled"/>
    <n v="750"/>
    <n v="1845"/>
    <s v="Settled"/>
    <s v="Match"/>
    <s v="Match"/>
    <x v="0"/>
    <m/>
    <x v="0"/>
  </r>
  <r>
    <s v="TRD012"/>
    <n v="100"/>
    <n v="2460"/>
    <s v="Settled"/>
    <n v="100"/>
    <n v="2460"/>
    <s v="Settled"/>
    <s v="Match"/>
    <s v="Match"/>
    <x v="0"/>
    <m/>
    <x v="0"/>
  </r>
  <r>
    <s v="TRD013"/>
    <n v="500"/>
    <n v="1645"/>
    <s v="Failed"/>
    <n v="500"/>
    <n v="1645"/>
    <s v="Failed"/>
    <s v="Match"/>
    <s v="Match"/>
    <x v="0"/>
    <m/>
    <x v="0"/>
  </r>
  <r>
    <s v="TRD014"/>
    <n v="200"/>
    <n v="3860"/>
    <s v="Settled"/>
    <n v="200"/>
    <n v="3860"/>
    <s v="Settled"/>
    <s v="Match"/>
    <s v="Match"/>
    <x v="0"/>
    <m/>
    <x v="0"/>
  </r>
  <r>
    <s v="TRD015"/>
    <n v="1000"/>
    <n v="525"/>
    <s v="Pending"/>
    <n v="1000"/>
    <n v="525"/>
    <s v="Pending"/>
    <s v="Match"/>
    <s v="Match"/>
    <x v="0"/>
    <m/>
    <x v="0"/>
  </r>
  <r>
    <s v="TRD016"/>
    <n v="300"/>
    <n v="1115"/>
    <s v="Settled"/>
    <n v="300"/>
    <n v="1115"/>
    <s v="Settled"/>
    <s v="Match"/>
    <s v="Match"/>
    <x v="0"/>
    <m/>
    <x v="0"/>
  </r>
  <r>
    <s v="TRD017"/>
    <n v="600"/>
    <n v="675"/>
    <s v="Settled"/>
    <n v="600"/>
    <n v="675"/>
    <s v="Settled"/>
    <s v="Match"/>
    <s v="Match"/>
    <x v="0"/>
    <m/>
    <x v="0"/>
  </r>
  <r>
    <s v="TRD018"/>
    <n v="400"/>
    <n v="1095"/>
    <s v="Pending"/>
    <n v="400"/>
    <n v="1095"/>
    <s v="Pending"/>
    <s v="Match"/>
    <s v="Match"/>
    <x v="0"/>
    <m/>
    <x v="0"/>
  </r>
  <r>
    <s v="TRD019"/>
    <n v="1000"/>
    <n v="155"/>
    <s v="Settled"/>
    <n v="1000"/>
    <n v="155"/>
    <s v="Settled"/>
    <s v="Match"/>
    <s v="Match"/>
    <x v="0"/>
    <m/>
    <x v="0"/>
  </r>
  <r>
    <s v="TRD020"/>
    <n v="500"/>
    <n v="1690"/>
    <s v="Settled"/>
    <n v="500"/>
    <n v="1690"/>
    <s v="Settled"/>
    <s v="Match"/>
    <s v="Match"/>
    <x v="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7AD59-5C0D-4F50-9757-1FAE79318933}" name="PivotTable2" cacheId="5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3:J5" firstHeaderRow="1" firstDataRow="2" firstDataCol="1" rowPageCount="1" colPageCount="1"/>
  <pivotFields count="1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axis="axisPage" compact="0" outline="0" multipleItemSelectionAllowed="1" showAll="0">
      <items count="3">
        <item x="1"/>
        <item h="1" x="0"/>
        <item t="default"/>
      </items>
    </pivotField>
  </pivotFields>
  <rowItems count="1">
    <i/>
  </rowItems>
  <colFields count="1">
    <field x="9"/>
  </colFields>
  <colItems count="2">
    <i>
      <x v="1"/>
    </i>
    <i t="grand">
      <x/>
    </i>
  </colItems>
  <pageFields count="1">
    <pageField fld="11" hier="-1"/>
  </pageFields>
  <dataFields count="1">
    <dataField name="Count of Trade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39FB7E-5044-4F60-9A46-0EEC433850DE}" name="Table1" displayName="Table1" ref="A3:L4" totalsRowShown="0">
  <autoFilter ref="A3:L4" xr:uid="{F739FB7E-5044-4F60-9A46-0EEC433850DE}"/>
  <tableColumns count="12">
    <tableColumn id="1" xr3:uid="{845DF8A7-4F6A-45C7-84CC-C829755871C3}" name="TradeID"/>
    <tableColumn id="2" xr3:uid="{7EBBF120-01D3-45B2-8866-0ED6E6F83FF8}" name="Ext_QTY"/>
    <tableColumn id="3" xr3:uid="{819BF7BE-AAF2-4E1A-A53C-84F02EA4A0BA}" name="Ext_price"/>
    <tableColumn id="4" xr3:uid="{580AC763-D008-4AC4-B204-07A200DFA22D}" name="Ext_status"/>
    <tableColumn id="5" xr3:uid="{FD2D167A-29C5-4410-A0C0-1DB4E8F72D70}" name="Int_QTY"/>
    <tableColumn id="6" xr3:uid="{27AF83C1-B367-4E93-95EA-35820B3C58E9}" name="Int_price"/>
    <tableColumn id="7" xr3:uid="{AF619474-0B78-4D02-B359-6CBDA319259B}" name="Int_status"/>
    <tableColumn id="8" xr3:uid="{B873638A-1814-4FE2-AA35-F7AA2BA9695C}" name="QTY_match"/>
    <tableColumn id="9" xr3:uid="{B14940C9-0593-40E9-9928-FA6F2D53D611}" name="price_match"/>
    <tableColumn id="10" xr3:uid="{DDD097B8-ABD1-4FDF-A6B1-1D31F9BED842}" name="staus_match"/>
    <tableColumn id="11" xr3:uid="{19980A01-5F37-4E21-81A2-79A3EBB806AF}" name="Field11"/>
    <tableColumn id="12" xr3:uid="{68D465FB-605D-4B62-849F-6F1099E8BBAB}" name="overa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2"/>
  <sheetViews>
    <sheetView topLeftCell="A11" workbookViewId="0">
      <selection activeCell="H2" activeCellId="2" sqref="E2 F2 H2"/>
    </sheetView>
  </sheetViews>
  <sheetFormatPr defaultRowHeight="15"/>
  <cols>
    <col min="2" max="2" width="16.42578125" customWidth="1"/>
    <col min="3" max="3" width="19.42578125" customWidth="1"/>
    <col min="6" max="6" width="19.42578125" customWidth="1"/>
    <col min="7" max="8" width="22.5703125" customWidth="1"/>
  </cols>
  <sheetData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8</v>
      </c>
      <c r="B3" s="1">
        <v>45597</v>
      </c>
      <c r="C3" t="s">
        <v>9</v>
      </c>
      <c r="D3" t="s">
        <v>10</v>
      </c>
      <c r="E3">
        <v>500</v>
      </c>
      <c r="F3">
        <v>1850.5</v>
      </c>
      <c r="G3" t="s">
        <v>11</v>
      </c>
      <c r="H3" t="s">
        <v>12</v>
      </c>
    </row>
    <row r="4" spans="1:8">
      <c r="A4" t="s">
        <v>13</v>
      </c>
      <c r="B4" s="1">
        <v>45597</v>
      </c>
      <c r="C4" t="s">
        <v>14</v>
      </c>
      <c r="D4" t="s">
        <v>15</v>
      </c>
      <c r="E4">
        <v>200</v>
      </c>
      <c r="F4">
        <v>2450</v>
      </c>
      <c r="G4" t="s">
        <v>16</v>
      </c>
      <c r="H4" t="s">
        <v>12</v>
      </c>
    </row>
    <row r="5" spans="1:8">
      <c r="A5" t="s">
        <v>17</v>
      </c>
      <c r="B5" s="1">
        <v>45597</v>
      </c>
      <c r="C5" t="s">
        <v>18</v>
      </c>
      <c r="D5" t="s">
        <v>10</v>
      </c>
      <c r="E5">
        <v>1000</v>
      </c>
      <c r="F5">
        <v>1650.75</v>
      </c>
      <c r="G5" t="s">
        <v>19</v>
      </c>
      <c r="H5" t="s">
        <v>12</v>
      </c>
    </row>
    <row r="6" spans="1:8">
      <c r="A6" t="s">
        <v>20</v>
      </c>
      <c r="B6" s="1">
        <v>45598</v>
      </c>
      <c r="C6" t="s">
        <v>21</v>
      </c>
      <c r="D6" t="s">
        <v>10</v>
      </c>
      <c r="E6">
        <v>300</v>
      </c>
      <c r="F6">
        <v>3850</v>
      </c>
      <c r="G6" t="s">
        <v>22</v>
      </c>
      <c r="H6" t="s">
        <v>23</v>
      </c>
    </row>
    <row r="7" spans="1:8">
      <c r="A7" t="s">
        <v>24</v>
      </c>
      <c r="B7" s="1">
        <v>45598</v>
      </c>
      <c r="C7" t="s">
        <v>25</v>
      </c>
      <c r="D7" t="s">
        <v>15</v>
      </c>
      <c r="E7">
        <v>1500</v>
      </c>
      <c r="F7">
        <v>520.29999999999995</v>
      </c>
      <c r="G7" t="s">
        <v>11</v>
      </c>
      <c r="H7" t="s">
        <v>12</v>
      </c>
    </row>
    <row r="8" spans="1:8">
      <c r="A8" t="s">
        <v>26</v>
      </c>
      <c r="B8" s="1">
        <v>45598</v>
      </c>
      <c r="C8" t="s">
        <v>27</v>
      </c>
      <c r="D8" t="s">
        <v>10</v>
      </c>
      <c r="E8">
        <v>800</v>
      </c>
      <c r="F8">
        <v>1120</v>
      </c>
      <c r="G8" t="s">
        <v>28</v>
      </c>
      <c r="H8" t="s">
        <v>29</v>
      </c>
    </row>
    <row r="9" spans="1:8">
      <c r="A9" t="s">
        <v>30</v>
      </c>
      <c r="B9" s="1">
        <v>45599</v>
      </c>
      <c r="C9" t="s">
        <v>31</v>
      </c>
      <c r="D9" t="s">
        <v>15</v>
      </c>
      <c r="E9">
        <v>400</v>
      </c>
      <c r="F9">
        <v>680</v>
      </c>
      <c r="G9" t="s">
        <v>16</v>
      </c>
      <c r="H9" t="s">
        <v>23</v>
      </c>
    </row>
    <row r="10" spans="1:8">
      <c r="A10" t="s">
        <v>32</v>
      </c>
      <c r="B10" s="1">
        <v>45599</v>
      </c>
      <c r="C10" t="s">
        <v>33</v>
      </c>
      <c r="D10" t="s">
        <v>10</v>
      </c>
      <c r="E10">
        <v>600</v>
      </c>
      <c r="F10">
        <v>1100</v>
      </c>
      <c r="G10" t="s">
        <v>19</v>
      </c>
      <c r="H10" t="s">
        <v>12</v>
      </c>
    </row>
    <row r="11" spans="1:8">
      <c r="A11" t="s">
        <v>34</v>
      </c>
      <c r="B11" s="1">
        <v>45599</v>
      </c>
      <c r="C11" t="s">
        <v>35</v>
      </c>
      <c r="D11" t="s">
        <v>10</v>
      </c>
      <c r="E11">
        <v>2000</v>
      </c>
      <c r="F11">
        <v>150</v>
      </c>
      <c r="G11" t="s">
        <v>22</v>
      </c>
      <c r="H11" t="s">
        <v>12</v>
      </c>
    </row>
    <row r="12" spans="1:8">
      <c r="A12" t="s">
        <v>36</v>
      </c>
      <c r="B12" s="1">
        <v>45600</v>
      </c>
      <c r="C12" t="s">
        <v>37</v>
      </c>
      <c r="D12" t="s">
        <v>15</v>
      </c>
      <c r="E12">
        <v>250</v>
      </c>
      <c r="F12">
        <v>1680</v>
      </c>
      <c r="G12" t="s">
        <v>11</v>
      </c>
      <c r="H12" t="s">
        <v>23</v>
      </c>
    </row>
    <row r="13" spans="1:8">
      <c r="A13" t="s">
        <v>38</v>
      </c>
      <c r="B13" s="1">
        <v>45600</v>
      </c>
      <c r="C13" t="s">
        <v>9</v>
      </c>
      <c r="D13" t="s">
        <v>10</v>
      </c>
      <c r="E13">
        <v>750</v>
      </c>
      <c r="F13">
        <v>1845</v>
      </c>
      <c r="G13" t="s">
        <v>16</v>
      </c>
      <c r="H13" t="s">
        <v>12</v>
      </c>
    </row>
    <row r="14" spans="1:8">
      <c r="A14" t="s">
        <v>39</v>
      </c>
      <c r="B14" s="1">
        <v>45600</v>
      </c>
      <c r="C14" t="s">
        <v>14</v>
      </c>
      <c r="D14" t="s">
        <v>10</v>
      </c>
      <c r="E14">
        <v>100</v>
      </c>
      <c r="F14">
        <v>2460</v>
      </c>
      <c r="G14" t="s">
        <v>28</v>
      </c>
      <c r="H14" t="s">
        <v>12</v>
      </c>
    </row>
    <row r="15" spans="1:8">
      <c r="A15" t="s">
        <v>40</v>
      </c>
      <c r="B15" s="1">
        <v>45601</v>
      </c>
      <c r="C15" t="s">
        <v>18</v>
      </c>
      <c r="D15" t="s">
        <v>15</v>
      </c>
      <c r="E15">
        <v>500</v>
      </c>
      <c r="F15">
        <v>1645</v>
      </c>
      <c r="G15" t="s">
        <v>19</v>
      </c>
      <c r="H15" t="s">
        <v>29</v>
      </c>
    </row>
    <row r="16" spans="1:8">
      <c r="A16" t="s">
        <v>41</v>
      </c>
      <c r="B16" s="1">
        <v>45601</v>
      </c>
      <c r="C16" t="s">
        <v>21</v>
      </c>
      <c r="D16" t="s">
        <v>15</v>
      </c>
      <c r="E16">
        <v>200</v>
      </c>
      <c r="F16">
        <v>3860</v>
      </c>
      <c r="G16" t="s">
        <v>11</v>
      </c>
      <c r="H16" t="s">
        <v>12</v>
      </c>
    </row>
    <row r="17" spans="1:8">
      <c r="A17" t="s">
        <v>42</v>
      </c>
      <c r="B17" s="1">
        <v>45601</v>
      </c>
      <c r="C17" t="s">
        <v>25</v>
      </c>
      <c r="D17" t="s">
        <v>10</v>
      </c>
      <c r="E17">
        <v>1000</v>
      </c>
      <c r="F17">
        <v>525</v>
      </c>
      <c r="G17" t="s">
        <v>22</v>
      </c>
      <c r="H17" t="s">
        <v>23</v>
      </c>
    </row>
    <row r="18" spans="1:8">
      <c r="A18" t="s">
        <v>43</v>
      </c>
      <c r="B18" s="1">
        <v>45602</v>
      </c>
      <c r="C18" t="s">
        <v>27</v>
      </c>
      <c r="D18" t="s">
        <v>15</v>
      </c>
      <c r="E18">
        <v>300</v>
      </c>
      <c r="F18">
        <v>1115</v>
      </c>
      <c r="G18" t="s">
        <v>16</v>
      </c>
      <c r="H18" t="s">
        <v>12</v>
      </c>
    </row>
    <row r="19" spans="1:8">
      <c r="A19" t="s">
        <v>44</v>
      </c>
      <c r="B19" s="1">
        <v>45602</v>
      </c>
      <c r="C19" t="s">
        <v>31</v>
      </c>
      <c r="D19" t="s">
        <v>10</v>
      </c>
      <c r="E19">
        <v>600</v>
      </c>
      <c r="F19">
        <v>675</v>
      </c>
      <c r="G19" t="s">
        <v>28</v>
      </c>
      <c r="H19" t="s">
        <v>12</v>
      </c>
    </row>
    <row r="20" spans="1:8">
      <c r="A20" t="s">
        <v>45</v>
      </c>
      <c r="B20" s="1">
        <v>45602</v>
      </c>
      <c r="C20" t="s">
        <v>33</v>
      </c>
      <c r="D20" t="s">
        <v>15</v>
      </c>
      <c r="E20">
        <v>400</v>
      </c>
      <c r="F20">
        <v>1095</v>
      </c>
      <c r="G20" t="s">
        <v>19</v>
      </c>
      <c r="H20" t="s">
        <v>23</v>
      </c>
    </row>
    <row r="21" spans="1:8">
      <c r="A21" t="s">
        <v>46</v>
      </c>
      <c r="B21" s="1">
        <v>45603</v>
      </c>
      <c r="C21" t="s">
        <v>35</v>
      </c>
      <c r="D21" t="s">
        <v>15</v>
      </c>
      <c r="E21">
        <v>1000</v>
      </c>
      <c r="F21">
        <v>155</v>
      </c>
      <c r="G21" t="s">
        <v>11</v>
      </c>
      <c r="H21" t="s">
        <v>12</v>
      </c>
    </row>
    <row r="22" spans="1:8">
      <c r="A22" t="s">
        <v>47</v>
      </c>
      <c r="B22" s="1">
        <v>45603</v>
      </c>
      <c r="C22" t="s">
        <v>37</v>
      </c>
      <c r="D22" t="s">
        <v>10</v>
      </c>
      <c r="E22">
        <v>500</v>
      </c>
      <c r="F22">
        <v>1690</v>
      </c>
      <c r="G22" t="s">
        <v>22</v>
      </c>
      <c r="H2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440E1-656C-4A4D-833E-6ED2EF9A4C26}">
  <dimension ref="A1:H21"/>
  <sheetViews>
    <sheetView topLeftCell="A14" workbookViewId="0">
      <selection activeCell="M12" sqref="M12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45597</v>
      </c>
      <c r="C2" t="s">
        <v>9</v>
      </c>
      <c r="D2" t="s">
        <v>10</v>
      </c>
      <c r="E2">
        <v>500</v>
      </c>
      <c r="F2">
        <v>1850.5</v>
      </c>
      <c r="G2" t="s">
        <v>11</v>
      </c>
      <c r="H2" t="s">
        <v>12</v>
      </c>
    </row>
    <row r="3" spans="1:8">
      <c r="A3" t="s">
        <v>13</v>
      </c>
      <c r="B3" s="1">
        <v>45597</v>
      </c>
      <c r="C3" t="s">
        <v>14</v>
      </c>
      <c r="D3" t="s">
        <v>15</v>
      </c>
      <c r="E3">
        <v>200</v>
      </c>
      <c r="F3">
        <v>2450</v>
      </c>
      <c r="G3" t="s">
        <v>16</v>
      </c>
      <c r="H3" t="s">
        <v>12</v>
      </c>
    </row>
    <row r="4" spans="1:8">
      <c r="A4" t="s">
        <v>17</v>
      </c>
      <c r="B4" s="1">
        <v>45597</v>
      </c>
      <c r="C4" t="s">
        <v>18</v>
      </c>
      <c r="D4" t="s">
        <v>10</v>
      </c>
      <c r="E4">
        <v>1000</v>
      </c>
      <c r="F4">
        <v>1650.75</v>
      </c>
      <c r="G4" t="s">
        <v>19</v>
      </c>
      <c r="H4" t="s">
        <v>12</v>
      </c>
    </row>
    <row r="5" spans="1:8">
      <c r="A5" t="s">
        <v>20</v>
      </c>
      <c r="B5" s="1">
        <v>45598</v>
      </c>
      <c r="C5" t="s">
        <v>21</v>
      </c>
      <c r="D5" t="s">
        <v>10</v>
      </c>
      <c r="E5">
        <v>300</v>
      </c>
      <c r="F5">
        <v>3850</v>
      </c>
      <c r="G5" t="s">
        <v>22</v>
      </c>
      <c r="H5" t="s">
        <v>23</v>
      </c>
    </row>
    <row r="6" spans="1:8">
      <c r="A6" t="s">
        <v>24</v>
      </c>
      <c r="B6" s="1">
        <v>45598</v>
      </c>
      <c r="C6" t="s">
        <v>25</v>
      </c>
      <c r="D6" t="s">
        <v>15</v>
      </c>
      <c r="E6">
        <v>1500</v>
      </c>
      <c r="F6">
        <v>520.29999999999995</v>
      </c>
      <c r="G6" t="s">
        <v>11</v>
      </c>
      <c r="H6" t="s">
        <v>12</v>
      </c>
    </row>
    <row r="7" spans="1:8">
      <c r="A7" t="s">
        <v>26</v>
      </c>
      <c r="B7" s="1">
        <v>45598</v>
      </c>
      <c r="C7" t="s">
        <v>27</v>
      </c>
      <c r="D7" t="s">
        <v>10</v>
      </c>
      <c r="E7">
        <v>800</v>
      </c>
      <c r="F7">
        <v>1120</v>
      </c>
      <c r="G7" t="s">
        <v>28</v>
      </c>
      <c r="H7" t="s">
        <v>12</v>
      </c>
    </row>
    <row r="8" spans="1:8">
      <c r="A8" t="s">
        <v>30</v>
      </c>
      <c r="B8" s="1">
        <v>45599</v>
      </c>
      <c r="C8" t="s">
        <v>31</v>
      </c>
      <c r="D8" t="s">
        <v>15</v>
      </c>
      <c r="E8">
        <v>400</v>
      </c>
      <c r="F8">
        <v>680</v>
      </c>
      <c r="G8" t="s">
        <v>16</v>
      </c>
      <c r="H8" t="s">
        <v>23</v>
      </c>
    </row>
    <row r="9" spans="1:8">
      <c r="A9" t="s">
        <v>32</v>
      </c>
      <c r="B9" s="1">
        <v>45599</v>
      </c>
      <c r="C9" t="s">
        <v>33</v>
      </c>
      <c r="D9" t="s">
        <v>10</v>
      </c>
      <c r="E9">
        <v>600</v>
      </c>
      <c r="F9">
        <v>1100</v>
      </c>
      <c r="G9" t="s">
        <v>19</v>
      </c>
      <c r="H9" t="s">
        <v>12</v>
      </c>
    </row>
    <row r="10" spans="1:8">
      <c r="A10" t="s">
        <v>34</v>
      </c>
      <c r="B10" s="1">
        <v>45599</v>
      </c>
      <c r="C10" t="s">
        <v>35</v>
      </c>
      <c r="D10" t="s">
        <v>10</v>
      </c>
      <c r="E10">
        <v>2000</v>
      </c>
      <c r="F10">
        <v>150</v>
      </c>
      <c r="G10" t="s">
        <v>22</v>
      </c>
      <c r="H10" t="s">
        <v>12</v>
      </c>
    </row>
    <row r="11" spans="1:8">
      <c r="A11" t="s">
        <v>36</v>
      </c>
      <c r="B11" s="1">
        <v>45600</v>
      </c>
      <c r="C11" t="s">
        <v>37</v>
      </c>
      <c r="D11" t="s">
        <v>15</v>
      </c>
      <c r="E11">
        <v>250</v>
      </c>
      <c r="F11">
        <v>1680</v>
      </c>
      <c r="G11" t="s">
        <v>11</v>
      </c>
      <c r="H11" t="s">
        <v>23</v>
      </c>
    </row>
    <row r="12" spans="1:8">
      <c r="A12" t="s">
        <v>38</v>
      </c>
      <c r="B12" s="1">
        <v>45600</v>
      </c>
      <c r="C12" t="s">
        <v>9</v>
      </c>
      <c r="D12" t="s">
        <v>10</v>
      </c>
      <c r="E12">
        <v>750</v>
      </c>
      <c r="F12">
        <v>1845</v>
      </c>
      <c r="G12" t="s">
        <v>16</v>
      </c>
      <c r="H12" t="s">
        <v>12</v>
      </c>
    </row>
    <row r="13" spans="1:8">
      <c r="A13" t="s">
        <v>39</v>
      </c>
      <c r="B13" s="1">
        <v>45600</v>
      </c>
      <c r="C13" t="s">
        <v>14</v>
      </c>
      <c r="D13" t="s">
        <v>10</v>
      </c>
      <c r="E13">
        <v>100</v>
      </c>
      <c r="F13">
        <v>2460</v>
      </c>
      <c r="G13" t="s">
        <v>28</v>
      </c>
      <c r="H13" t="s">
        <v>12</v>
      </c>
    </row>
    <row r="14" spans="1:8">
      <c r="A14" t="s">
        <v>40</v>
      </c>
      <c r="B14" s="1">
        <v>45601</v>
      </c>
      <c r="C14" t="s">
        <v>18</v>
      </c>
      <c r="D14" t="s">
        <v>15</v>
      </c>
      <c r="E14">
        <v>500</v>
      </c>
      <c r="F14">
        <v>1645</v>
      </c>
      <c r="G14" t="s">
        <v>19</v>
      </c>
      <c r="H14" t="s">
        <v>29</v>
      </c>
    </row>
    <row r="15" spans="1:8">
      <c r="A15" t="s">
        <v>41</v>
      </c>
      <c r="B15" s="1">
        <v>45601</v>
      </c>
      <c r="C15" t="s">
        <v>21</v>
      </c>
      <c r="D15" t="s">
        <v>15</v>
      </c>
      <c r="E15">
        <v>200</v>
      </c>
      <c r="F15">
        <v>3860</v>
      </c>
      <c r="G15" t="s">
        <v>11</v>
      </c>
      <c r="H15" t="s">
        <v>12</v>
      </c>
    </row>
    <row r="16" spans="1:8">
      <c r="A16" t="s">
        <v>42</v>
      </c>
      <c r="B16" s="1">
        <v>45601</v>
      </c>
      <c r="C16" t="s">
        <v>25</v>
      </c>
      <c r="D16" t="s">
        <v>10</v>
      </c>
      <c r="E16">
        <v>1000</v>
      </c>
      <c r="F16">
        <v>525</v>
      </c>
      <c r="G16" t="s">
        <v>22</v>
      </c>
      <c r="H16" t="s">
        <v>23</v>
      </c>
    </row>
    <row r="17" spans="1:8">
      <c r="A17" t="s">
        <v>43</v>
      </c>
      <c r="B17" s="1">
        <v>45602</v>
      </c>
      <c r="C17" t="s">
        <v>27</v>
      </c>
      <c r="D17" t="s">
        <v>15</v>
      </c>
      <c r="E17">
        <v>300</v>
      </c>
      <c r="F17">
        <v>1115</v>
      </c>
      <c r="G17" t="s">
        <v>16</v>
      </c>
      <c r="H17" t="s">
        <v>12</v>
      </c>
    </row>
    <row r="18" spans="1:8">
      <c r="A18" t="s">
        <v>44</v>
      </c>
      <c r="B18" s="1">
        <v>45602</v>
      </c>
      <c r="C18" t="s">
        <v>31</v>
      </c>
      <c r="D18" t="s">
        <v>10</v>
      </c>
      <c r="E18">
        <v>600</v>
      </c>
      <c r="F18">
        <v>675</v>
      </c>
      <c r="G18" t="s">
        <v>28</v>
      </c>
      <c r="H18" t="s">
        <v>12</v>
      </c>
    </row>
    <row r="19" spans="1:8">
      <c r="A19" t="s">
        <v>45</v>
      </c>
      <c r="B19" s="1">
        <v>45602</v>
      </c>
      <c r="C19" t="s">
        <v>33</v>
      </c>
      <c r="D19" t="s">
        <v>15</v>
      </c>
      <c r="E19">
        <v>400</v>
      </c>
      <c r="F19">
        <v>1095</v>
      </c>
      <c r="G19" t="s">
        <v>19</v>
      </c>
      <c r="H19" t="s">
        <v>23</v>
      </c>
    </row>
    <row r="20" spans="1:8">
      <c r="A20" t="s">
        <v>46</v>
      </c>
      <c r="B20" s="1">
        <v>45603</v>
      </c>
      <c r="C20" t="s">
        <v>35</v>
      </c>
      <c r="D20" t="s">
        <v>15</v>
      </c>
      <c r="E20">
        <v>1000</v>
      </c>
      <c r="F20">
        <v>155</v>
      </c>
      <c r="G20" t="s">
        <v>11</v>
      </c>
      <c r="H20" t="s">
        <v>12</v>
      </c>
    </row>
    <row r="21" spans="1:8">
      <c r="A21" t="s">
        <v>47</v>
      </c>
      <c r="B21" s="1">
        <v>45603</v>
      </c>
      <c r="C21" t="s">
        <v>37</v>
      </c>
      <c r="D21" t="s">
        <v>10</v>
      </c>
      <c r="E21">
        <v>500</v>
      </c>
      <c r="F21">
        <v>1690</v>
      </c>
      <c r="G21" t="s">
        <v>22</v>
      </c>
      <c r="H2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5A56-5648-4B74-BBED-910D4FB9EBBA}">
  <dimension ref="A1:L21"/>
  <sheetViews>
    <sheetView topLeftCell="A14" workbookViewId="0">
      <selection activeCell="L2" sqref="L2:L21"/>
    </sheetView>
  </sheetViews>
  <sheetFormatPr defaultRowHeight="15"/>
  <cols>
    <col min="4" max="4" width="11" customWidth="1"/>
    <col min="8" max="8" width="28" customWidth="1"/>
    <col min="9" max="9" width="20" customWidth="1"/>
    <col min="10" max="10" width="19.85546875" customWidth="1"/>
  </cols>
  <sheetData>
    <row r="1" spans="1:12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L1" t="s">
        <v>57</v>
      </c>
    </row>
    <row r="2" spans="1:12">
      <c r="A2" t="str">
        <f>'Trades_Internal (Bank Records)'!A3</f>
        <v>TRD001</v>
      </c>
      <c r="B2">
        <f>_xlfn.XLOOKUP(A2,'Trades_External (Client Record)'!A1:A21,'Trades_External (Client Record)'!E1:E21)</f>
        <v>500</v>
      </c>
      <c r="C2">
        <f>_xlfn.XLOOKUP(A2,'Trades_External (Client Record)'!A1:A21,'Trades_External (Client Record)'!F1:F21)</f>
        <v>1850.5</v>
      </c>
      <c r="D2" t="str">
        <f>_xlfn.XLOOKUP(A2,'Trades_External (Client Record)'!A1:A21,'Trades_External (Client Record)'!H1:H21)</f>
        <v>Settled</v>
      </c>
      <c r="E2">
        <f>_xlfn.XLOOKUP(A2,'Trades_Internal (Bank Records)'!A2:A22,'Trades_Internal (Bank Records)'!E2:E22)</f>
        <v>500</v>
      </c>
      <c r="F2">
        <f>_xlfn.XLOOKUP(A2,'Trades_Internal (Bank Records)'!A2:A22,'Trades_Internal (Bank Records)'!F2:F22)</f>
        <v>1850.5</v>
      </c>
      <c r="G2" t="str">
        <f>_xlfn.XLOOKUP(A2,'Trades_Internal (Bank Records)'!A2:A22,'Trades_Internal (Bank Records)'!H2:H22)</f>
        <v>Settled</v>
      </c>
      <c r="H2" t="str">
        <f>IF(B2=E2,"Match","Mismatch")</f>
        <v>Match</v>
      </c>
      <c r="I2" t="str">
        <f>IF(C2=F2,"Match","Mismatch")</f>
        <v>Match</v>
      </c>
      <c r="J2" t="str">
        <f>IF(D2=G2,"Match","Mismatch")</f>
        <v>Match</v>
      </c>
      <c r="L2" t="str">
        <f>IF(AND(H2="Match",I2="Match",J2="Match"),"OK","Exception")</f>
        <v>OK</v>
      </c>
    </row>
    <row r="3" spans="1:12">
      <c r="A3" t="str">
        <f>'Trades_Internal (Bank Records)'!A4</f>
        <v>TRD002</v>
      </c>
      <c r="B3">
        <f>_xlfn.XLOOKUP(A3,'Trades_External (Client Record)'!A2:A22,'Trades_External (Client Record)'!E2:E22)</f>
        <v>200</v>
      </c>
      <c r="C3">
        <f>_xlfn.XLOOKUP(A3,'Trades_External (Client Record)'!A2:A22,'Trades_External (Client Record)'!F2:F22)</f>
        <v>2450</v>
      </c>
      <c r="D3" t="str">
        <f>_xlfn.XLOOKUP(A3,'Trades_External (Client Record)'!A2:A22,'Trades_External (Client Record)'!H2:H22)</f>
        <v>Settled</v>
      </c>
      <c r="E3">
        <f>_xlfn.XLOOKUP(A3,'Trades_Internal (Bank Records)'!A3:A23,'Trades_Internal (Bank Records)'!E3:E23)</f>
        <v>200</v>
      </c>
      <c r="F3">
        <f>_xlfn.XLOOKUP(A3,'Trades_Internal (Bank Records)'!A3:A23,'Trades_Internal (Bank Records)'!F3:F23)</f>
        <v>2450</v>
      </c>
      <c r="G3" t="str">
        <f>_xlfn.XLOOKUP(A3,'Trades_Internal (Bank Records)'!A3:A23,'Trades_Internal (Bank Records)'!H3:H23)</f>
        <v>Settled</v>
      </c>
      <c r="H3" t="str">
        <f t="shared" ref="H3:H21" si="0">IF(B3=E3,"Match","Mismatch")</f>
        <v>Match</v>
      </c>
      <c r="I3" t="str">
        <f t="shared" ref="I3:I21" si="1">IF(C3=F3,"Match","Mismatch")</f>
        <v>Match</v>
      </c>
      <c r="J3" t="str">
        <f t="shared" ref="J3:J21" si="2">IF(D3=G3,"Match","Mismatch")</f>
        <v>Match</v>
      </c>
      <c r="L3" t="str">
        <f t="shared" ref="L3:L21" si="3">IF(AND(H3="Match",I3="Match",J3="Match"),"OK","Exception")</f>
        <v>OK</v>
      </c>
    </row>
    <row r="4" spans="1:12">
      <c r="A4" t="str">
        <f>'Trades_Internal (Bank Records)'!A5</f>
        <v>TRD003</v>
      </c>
      <c r="B4">
        <f>_xlfn.XLOOKUP(A4,'Trades_External (Client Record)'!A3:A23,'Trades_External (Client Record)'!E3:E23)</f>
        <v>1000</v>
      </c>
      <c r="C4">
        <f>_xlfn.XLOOKUP(A4,'Trades_External (Client Record)'!A3:A23,'Trades_External (Client Record)'!F3:F23)</f>
        <v>1650.75</v>
      </c>
      <c r="D4" t="str">
        <f>_xlfn.XLOOKUP(A4,'Trades_External (Client Record)'!A3:A23,'Trades_External (Client Record)'!H3:H23)</f>
        <v>Settled</v>
      </c>
      <c r="E4">
        <f>_xlfn.XLOOKUP(A4,'Trades_Internal (Bank Records)'!A4:A24,'Trades_Internal (Bank Records)'!E4:E24)</f>
        <v>1000</v>
      </c>
      <c r="F4">
        <f>_xlfn.XLOOKUP(A4,'Trades_Internal (Bank Records)'!A4:A24,'Trades_Internal (Bank Records)'!F4:F24)</f>
        <v>1650.75</v>
      </c>
      <c r="G4" t="str">
        <f>_xlfn.XLOOKUP(A4,'Trades_Internal (Bank Records)'!A4:A24,'Trades_Internal (Bank Records)'!H4:H24)</f>
        <v>Settled</v>
      </c>
      <c r="H4" t="str">
        <f t="shared" si="0"/>
        <v>Match</v>
      </c>
      <c r="I4" t="str">
        <f t="shared" si="1"/>
        <v>Match</v>
      </c>
      <c r="J4" t="str">
        <f t="shared" si="2"/>
        <v>Match</v>
      </c>
      <c r="L4" t="str">
        <f t="shared" si="3"/>
        <v>OK</v>
      </c>
    </row>
    <row r="5" spans="1:12">
      <c r="A5" t="str">
        <f>'Trades_Internal (Bank Records)'!A6</f>
        <v>TRD004</v>
      </c>
      <c r="B5">
        <f>_xlfn.XLOOKUP(A5,'Trades_External (Client Record)'!A4:A24,'Trades_External (Client Record)'!E4:E24)</f>
        <v>300</v>
      </c>
      <c r="C5">
        <f>_xlfn.XLOOKUP(A5,'Trades_External (Client Record)'!A4:A24,'Trades_External (Client Record)'!F4:F24)</f>
        <v>3850</v>
      </c>
      <c r="D5" t="str">
        <f>_xlfn.XLOOKUP(A5,'Trades_External (Client Record)'!A4:A24,'Trades_External (Client Record)'!H4:H24)</f>
        <v>Pending</v>
      </c>
      <c r="E5">
        <f>_xlfn.XLOOKUP(A5,'Trades_Internal (Bank Records)'!A5:A25,'Trades_Internal (Bank Records)'!E5:E25)</f>
        <v>300</v>
      </c>
      <c r="F5">
        <f>_xlfn.XLOOKUP(A5,'Trades_Internal (Bank Records)'!A5:A25,'Trades_Internal (Bank Records)'!F5:F25)</f>
        <v>3850</v>
      </c>
      <c r="G5" t="str">
        <f>_xlfn.XLOOKUP(A5,'Trades_Internal (Bank Records)'!A5:A25,'Trades_Internal (Bank Records)'!H5:H25)</f>
        <v>Pending</v>
      </c>
      <c r="H5" t="str">
        <f t="shared" si="0"/>
        <v>Match</v>
      </c>
      <c r="I5" t="str">
        <f t="shared" si="1"/>
        <v>Match</v>
      </c>
      <c r="J5" t="str">
        <f t="shared" si="2"/>
        <v>Match</v>
      </c>
      <c r="L5" t="str">
        <f t="shared" si="3"/>
        <v>OK</v>
      </c>
    </row>
    <row r="6" spans="1:12">
      <c r="A6" t="str">
        <f>'Trades_Internal (Bank Records)'!A7</f>
        <v>TRD005</v>
      </c>
      <c r="B6">
        <f>_xlfn.XLOOKUP(A6,'Trades_External (Client Record)'!A5:A25,'Trades_External (Client Record)'!E5:E25)</f>
        <v>1500</v>
      </c>
      <c r="C6">
        <f>_xlfn.XLOOKUP(A6,'Trades_External (Client Record)'!A5:A25,'Trades_External (Client Record)'!F5:F25)</f>
        <v>520.29999999999995</v>
      </c>
      <c r="D6" t="str">
        <f>_xlfn.XLOOKUP(A6,'Trades_External (Client Record)'!A5:A25,'Trades_External (Client Record)'!H5:H25)</f>
        <v>Settled</v>
      </c>
      <c r="E6">
        <f>_xlfn.XLOOKUP(A6,'Trades_Internal (Bank Records)'!A6:A26,'Trades_Internal (Bank Records)'!E6:E26)</f>
        <v>1500</v>
      </c>
      <c r="F6">
        <f>_xlfn.XLOOKUP(A6,'Trades_Internal (Bank Records)'!A6:A26,'Trades_Internal (Bank Records)'!F6:F26)</f>
        <v>520.29999999999995</v>
      </c>
      <c r="G6" t="str">
        <f>_xlfn.XLOOKUP(A6,'Trades_Internal (Bank Records)'!A6:A26,'Trades_Internal (Bank Records)'!H6:H26)</f>
        <v>Settled</v>
      </c>
      <c r="H6" t="str">
        <f t="shared" si="0"/>
        <v>Match</v>
      </c>
      <c r="I6" t="str">
        <f t="shared" si="1"/>
        <v>Match</v>
      </c>
      <c r="J6" t="str">
        <f t="shared" si="2"/>
        <v>Match</v>
      </c>
      <c r="L6" t="str">
        <f t="shared" si="3"/>
        <v>OK</v>
      </c>
    </row>
    <row r="7" spans="1:12">
      <c r="A7" t="str">
        <f>'Trades_Internal (Bank Records)'!A8</f>
        <v>TRD006</v>
      </c>
      <c r="B7">
        <f>_xlfn.XLOOKUP(A7,'Trades_External (Client Record)'!A6:A26,'Trades_External (Client Record)'!E6:E26)</f>
        <v>800</v>
      </c>
      <c r="C7">
        <f>_xlfn.XLOOKUP(A7,'Trades_External (Client Record)'!A6:A26,'Trades_External (Client Record)'!F6:F26)</f>
        <v>1120</v>
      </c>
      <c r="D7" t="str">
        <f>_xlfn.XLOOKUP(A7,'Trades_External (Client Record)'!A6:A26,'Trades_External (Client Record)'!H6:H26)</f>
        <v>Settled</v>
      </c>
      <c r="E7">
        <f>_xlfn.XLOOKUP(A7,'Trades_Internal (Bank Records)'!A7:A27,'Trades_Internal (Bank Records)'!E7:E27)</f>
        <v>800</v>
      </c>
      <c r="F7">
        <f>_xlfn.XLOOKUP(A7,'Trades_Internal (Bank Records)'!A7:A27,'Trades_Internal (Bank Records)'!F7:F27)</f>
        <v>1120</v>
      </c>
      <c r="G7" t="str">
        <f>_xlfn.XLOOKUP(A7,'Trades_Internal (Bank Records)'!A7:A27,'Trades_Internal (Bank Records)'!H7:H27)</f>
        <v>Failed</v>
      </c>
      <c r="H7" t="str">
        <f t="shared" si="0"/>
        <v>Match</v>
      </c>
      <c r="I7" t="str">
        <f t="shared" si="1"/>
        <v>Match</v>
      </c>
      <c r="J7" t="str">
        <f t="shared" si="2"/>
        <v>Mismatch</v>
      </c>
      <c r="L7" t="str">
        <f t="shared" si="3"/>
        <v>Exception</v>
      </c>
    </row>
    <row r="8" spans="1:12">
      <c r="A8" t="str">
        <f>'Trades_Internal (Bank Records)'!A9</f>
        <v>TRD007</v>
      </c>
      <c r="B8">
        <f>_xlfn.XLOOKUP(A8,'Trades_External (Client Record)'!A7:A27,'Trades_External (Client Record)'!E7:E27)</f>
        <v>400</v>
      </c>
      <c r="C8">
        <f>_xlfn.XLOOKUP(A8,'Trades_External (Client Record)'!A7:A27,'Trades_External (Client Record)'!F7:F27)</f>
        <v>680</v>
      </c>
      <c r="D8" t="str">
        <f>_xlfn.XLOOKUP(A8,'Trades_External (Client Record)'!A7:A27,'Trades_External (Client Record)'!H7:H27)</f>
        <v>Pending</v>
      </c>
      <c r="E8">
        <f>_xlfn.XLOOKUP(A8,'Trades_Internal (Bank Records)'!A8:A28,'Trades_Internal (Bank Records)'!E8:E28)</f>
        <v>400</v>
      </c>
      <c r="F8">
        <f>_xlfn.XLOOKUP(A8,'Trades_Internal (Bank Records)'!A8:A28,'Trades_Internal (Bank Records)'!F8:F28)</f>
        <v>680</v>
      </c>
      <c r="G8" t="str">
        <f>_xlfn.XLOOKUP(A8,'Trades_Internal (Bank Records)'!A8:A28,'Trades_Internal (Bank Records)'!H8:H28)</f>
        <v>Pending</v>
      </c>
      <c r="H8" t="str">
        <f t="shared" si="0"/>
        <v>Match</v>
      </c>
      <c r="I8" t="str">
        <f t="shared" si="1"/>
        <v>Match</v>
      </c>
      <c r="J8" t="str">
        <f t="shared" si="2"/>
        <v>Match</v>
      </c>
      <c r="L8" t="str">
        <f t="shared" si="3"/>
        <v>OK</v>
      </c>
    </row>
    <row r="9" spans="1:12">
      <c r="A9" t="str">
        <f>'Trades_Internal (Bank Records)'!A10</f>
        <v>TRD008</v>
      </c>
      <c r="B9">
        <f>_xlfn.XLOOKUP(A9,'Trades_External (Client Record)'!A8:A28,'Trades_External (Client Record)'!E8:E28)</f>
        <v>600</v>
      </c>
      <c r="C9">
        <f>_xlfn.XLOOKUP(A9,'Trades_External (Client Record)'!A8:A28,'Trades_External (Client Record)'!F8:F28)</f>
        <v>1100</v>
      </c>
      <c r="D9" t="str">
        <f>_xlfn.XLOOKUP(A9,'Trades_External (Client Record)'!A8:A28,'Trades_External (Client Record)'!H8:H28)</f>
        <v>Settled</v>
      </c>
      <c r="E9">
        <f>_xlfn.XLOOKUP(A9,'Trades_Internal (Bank Records)'!A9:A29,'Trades_Internal (Bank Records)'!E9:E29)</f>
        <v>600</v>
      </c>
      <c r="F9">
        <f>_xlfn.XLOOKUP(A9,'Trades_Internal (Bank Records)'!A9:A29,'Trades_Internal (Bank Records)'!F9:F29)</f>
        <v>1100</v>
      </c>
      <c r="G9" t="str">
        <f>_xlfn.XLOOKUP(A9,'Trades_Internal (Bank Records)'!A9:A29,'Trades_Internal (Bank Records)'!H9:H29)</f>
        <v>Settled</v>
      </c>
      <c r="H9" t="str">
        <f t="shared" si="0"/>
        <v>Match</v>
      </c>
      <c r="I9" t="str">
        <f t="shared" si="1"/>
        <v>Match</v>
      </c>
      <c r="J9" t="str">
        <f t="shared" si="2"/>
        <v>Match</v>
      </c>
      <c r="L9" t="str">
        <f t="shared" si="3"/>
        <v>OK</v>
      </c>
    </row>
    <row r="10" spans="1:12">
      <c r="A10" t="str">
        <f>'Trades_Internal (Bank Records)'!A11</f>
        <v>TRD009</v>
      </c>
      <c r="B10">
        <f>_xlfn.XLOOKUP(A10,'Trades_External (Client Record)'!A9:A29,'Trades_External (Client Record)'!E9:E29)</f>
        <v>2000</v>
      </c>
      <c r="C10">
        <f>_xlfn.XLOOKUP(A10,'Trades_External (Client Record)'!A9:A29,'Trades_External (Client Record)'!F9:F29)</f>
        <v>150</v>
      </c>
      <c r="D10" t="str">
        <f>_xlfn.XLOOKUP(A10,'Trades_External (Client Record)'!A9:A29,'Trades_External (Client Record)'!H9:H29)</f>
        <v>Settled</v>
      </c>
      <c r="E10">
        <f>_xlfn.XLOOKUP(A10,'Trades_Internal (Bank Records)'!A10:A30,'Trades_Internal (Bank Records)'!E10:E30)</f>
        <v>2000</v>
      </c>
      <c r="F10">
        <f>_xlfn.XLOOKUP(A10,'Trades_Internal (Bank Records)'!A10:A30,'Trades_Internal (Bank Records)'!F10:F30)</f>
        <v>150</v>
      </c>
      <c r="G10" t="str">
        <f>_xlfn.XLOOKUP(A10,'Trades_Internal (Bank Records)'!A10:A30,'Trades_Internal (Bank Records)'!H10:H30)</f>
        <v>Settled</v>
      </c>
      <c r="H10" t="str">
        <f t="shared" si="0"/>
        <v>Match</v>
      </c>
      <c r="I10" t="str">
        <f t="shared" si="1"/>
        <v>Match</v>
      </c>
      <c r="J10" t="str">
        <f t="shared" si="2"/>
        <v>Match</v>
      </c>
      <c r="L10" t="str">
        <f t="shared" si="3"/>
        <v>OK</v>
      </c>
    </row>
    <row r="11" spans="1:12">
      <c r="A11" t="str">
        <f>'Trades_Internal (Bank Records)'!A12</f>
        <v>TRD010</v>
      </c>
      <c r="B11">
        <f>_xlfn.XLOOKUP(A11,'Trades_External (Client Record)'!A10:A30,'Trades_External (Client Record)'!E10:E30)</f>
        <v>250</v>
      </c>
      <c r="C11">
        <f>_xlfn.XLOOKUP(A11,'Trades_External (Client Record)'!A10:A30,'Trades_External (Client Record)'!F10:F30)</f>
        <v>1680</v>
      </c>
      <c r="D11" t="str">
        <f>_xlfn.XLOOKUP(A11,'Trades_External (Client Record)'!A10:A30,'Trades_External (Client Record)'!H10:H30)</f>
        <v>Pending</v>
      </c>
      <c r="E11">
        <f>_xlfn.XLOOKUP(A11,'Trades_Internal (Bank Records)'!A11:A31,'Trades_Internal (Bank Records)'!E11:E31)</f>
        <v>250</v>
      </c>
      <c r="F11">
        <f>_xlfn.XLOOKUP(A11,'Trades_Internal (Bank Records)'!A11:A31,'Trades_Internal (Bank Records)'!F11:F31)</f>
        <v>1680</v>
      </c>
      <c r="G11" t="str">
        <f>_xlfn.XLOOKUP(A11,'Trades_Internal (Bank Records)'!A11:A31,'Trades_Internal (Bank Records)'!H11:H31)</f>
        <v>Pending</v>
      </c>
      <c r="H11" t="str">
        <f t="shared" si="0"/>
        <v>Match</v>
      </c>
      <c r="I11" t="str">
        <f t="shared" si="1"/>
        <v>Match</v>
      </c>
      <c r="J11" t="str">
        <f t="shared" si="2"/>
        <v>Match</v>
      </c>
      <c r="L11" t="str">
        <f t="shared" si="3"/>
        <v>OK</v>
      </c>
    </row>
    <row r="12" spans="1:12">
      <c r="A12" t="str">
        <f>'Trades_Internal (Bank Records)'!A13</f>
        <v>TRD011</v>
      </c>
      <c r="B12">
        <f>_xlfn.XLOOKUP(A12,'Trades_External (Client Record)'!A11:A31,'Trades_External (Client Record)'!E11:E31)</f>
        <v>750</v>
      </c>
      <c r="C12">
        <f>_xlfn.XLOOKUP(A12,'Trades_External (Client Record)'!A11:A31,'Trades_External (Client Record)'!F11:F31)</f>
        <v>1845</v>
      </c>
      <c r="D12" t="str">
        <f>_xlfn.XLOOKUP(A12,'Trades_External (Client Record)'!A11:A31,'Trades_External (Client Record)'!H11:H31)</f>
        <v>Settled</v>
      </c>
      <c r="E12">
        <f>_xlfn.XLOOKUP(A12,'Trades_Internal (Bank Records)'!A12:A32,'Trades_Internal (Bank Records)'!E12:E32)</f>
        <v>750</v>
      </c>
      <c r="F12">
        <f>_xlfn.XLOOKUP(A12,'Trades_Internal (Bank Records)'!A12:A32,'Trades_Internal (Bank Records)'!F12:F32)</f>
        <v>1845</v>
      </c>
      <c r="G12" t="str">
        <f>_xlfn.XLOOKUP(A12,'Trades_Internal (Bank Records)'!A12:A32,'Trades_Internal (Bank Records)'!H12:H32)</f>
        <v>Settled</v>
      </c>
      <c r="H12" t="str">
        <f t="shared" si="0"/>
        <v>Match</v>
      </c>
      <c r="I12" t="str">
        <f t="shared" si="1"/>
        <v>Match</v>
      </c>
      <c r="J12" t="str">
        <f t="shared" si="2"/>
        <v>Match</v>
      </c>
      <c r="L12" t="str">
        <f t="shared" si="3"/>
        <v>OK</v>
      </c>
    </row>
    <row r="13" spans="1:12">
      <c r="A13" t="str">
        <f>'Trades_Internal (Bank Records)'!A14</f>
        <v>TRD012</v>
      </c>
      <c r="B13">
        <f>_xlfn.XLOOKUP(A13,'Trades_External (Client Record)'!A12:A32,'Trades_External (Client Record)'!E12:E32)</f>
        <v>100</v>
      </c>
      <c r="C13">
        <f>_xlfn.XLOOKUP(A13,'Trades_External (Client Record)'!A12:A32,'Trades_External (Client Record)'!F12:F32)</f>
        <v>2460</v>
      </c>
      <c r="D13" t="str">
        <f>_xlfn.XLOOKUP(A13,'Trades_External (Client Record)'!A12:A32,'Trades_External (Client Record)'!H12:H32)</f>
        <v>Settled</v>
      </c>
      <c r="E13">
        <f>_xlfn.XLOOKUP(A13,'Trades_Internal (Bank Records)'!A13:A33,'Trades_Internal (Bank Records)'!E13:E33)</f>
        <v>100</v>
      </c>
      <c r="F13">
        <f>_xlfn.XLOOKUP(A13,'Trades_Internal (Bank Records)'!A13:A33,'Trades_Internal (Bank Records)'!F13:F33)</f>
        <v>2460</v>
      </c>
      <c r="G13" t="str">
        <f>_xlfn.XLOOKUP(A13,'Trades_Internal (Bank Records)'!A13:A33,'Trades_Internal (Bank Records)'!H13:H33)</f>
        <v>Settled</v>
      </c>
      <c r="H13" t="str">
        <f t="shared" si="0"/>
        <v>Match</v>
      </c>
      <c r="I13" t="str">
        <f t="shared" si="1"/>
        <v>Match</v>
      </c>
      <c r="J13" t="str">
        <f t="shared" si="2"/>
        <v>Match</v>
      </c>
      <c r="L13" t="str">
        <f t="shared" si="3"/>
        <v>OK</v>
      </c>
    </row>
    <row r="14" spans="1:12">
      <c r="A14" t="str">
        <f>'Trades_Internal (Bank Records)'!A15</f>
        <v>TRD013</v>
      </c>
      <c r="B14">
        <f>_xlfn.XLOOKUP(A14,'Trades_External (Client Record)'!A13:A33,'Trades_External (Client Record)'!E13:E33)</f>
        <v>500</v>
      </c>
      <c r="C14">
        <f>_xlfn.XLOOKUP(A14,'Trades_External (Client Record)'!A13:A33,'Trades_External (Client Record)'!F13:F33)</f>
        <v>1645</v>
      </c>
      <c r="D14" t="str">
        <f>_xlfn.XLOOKUP(A14,'Trades_External (Client Record)'!A13:A33,'Trades_External (Client Record)'!H13:H33)</f>
        <v>Failed</v>
      </c>
      <c r="E14">
        <f>_xlfn.XLOOKUP(A14,'Trades_Internal (Bank Records)'!A14:A34,'Trades_Internal (Bank Records)'!E14:E34)</f>
        <v>500</v>
      </c>
      <c r="F14">
        <f>_xlfn.XLOOKUP(A14,'Trades_Internal (Bank Records)'!A14:A34,'Trades_Internal (Bank Records)'!F14:F34)</f>
        <v>1645</v>
      </c>
      <c r="G14" t="str">
        <f>_xlfn.XLOOKUP(A14,'Trades_Internal (Bank Records)'!A14:A34,'Trades_Internal (Bank Records)'!H14:H34)</f>
        <v>Failed</v>
      </c>
      <c r="H14" t="str">
        <f t="shared" si="0"/>
        <v>Match</v>
      </c>
      <c r="I14" t="str">
        <f t="shared" si="1"/>
        <v>Match</v>
      </c>
      <c r="J14" t="str">
        <f t="shared" si="2"/>
        <v>Match</v>
      </c>
      <c r="L14" t="str">
        <f t="shared" si="3"/>
        <v>OK</v>
      </c>
    </row>
    <row r="15" spans="1:12">
      <c r="A15" t="str">
        <f>'Trades_Internal (Bank Records)'!A16</f>
        <v>TRD014</v>
      </c>
      <c r="B15">
        <f>_xlfn.XLOOKUP(A15,'Trades_External (Client Record)'!A14:A34,'Trades_External (Client Record)'!E14:E34)</f>
        <v>200</v>
      </c>
      <c r="C15">
        <f>_xlfn.XLOOKUP(A15,'Trades_External (Client Record)'!A14:A34,'Trades_External (Client Record)'!F14:F34)</f>
        <v>3860</v>
      </c>
      <c r="D15" t="str">
        <f>_xlfn.XLOOKUP(A15,'Trades_External (Client Record)'!A14:A34,'Trades_External (Client Record)'!H14:H34)</f>
        <v>Settled</v>
      </c>
      <c r="E15">
        <f>_xlfn.XLOOKUP(A15,'Trades_Internal (Bank Records)'!A15:A35,'Trades_Internal (Bank Records)'!E15:E35)</f>
        <v>200</v>
      </c>
      <c r="F15">
        <f>_xlfn.XLOOKUP(A15,'Trades_Internal (Bank Records)'!A15:A35,'Trades_Internal (Bank Records)'!F15:F35)</f>
        <v>3860</v>
      </c>
      <c r="G15" t="str">
        <f>_xlfn.XLOOKUP(A15,'Trades_Internal (Bank Records)'!A15:A35,'Trades_Internal (Bank Records)'!H15:H35)</f>
        <v>Settled</v>
      </c>
      <c r="H15" t="str">
        <f t="shared" si="0"/>
        <v>Match</v>
      </c>
      <c r="I15" t="str">
        <f t="shared" si="1"/>
        <v>Match</v>
      </c>
      <c r="J15" t="str">
        <f t="shared" si="2"/>
        <v>Match</v>
      </c>
      <c r="L15" t="str">
        <f t="shared" si="3"/>
        <v>OK</v>
      </c>
    </row>
    <row r="16" spans="1:12">
      <c r="A16" t="str">
        <f>'Trades_Internal (Bank Records)'!A17</f>
        <v>TRD015</v>
      </c>
      <c r="B16">
        <f>_xlfn.XLOOKUP(A16,'Trades_External (Client Record)'!A15:A35,'Trades_External (Client Record)'!E15:E35)</f>
        <v>1000</v>
      </c>
      <c r="C16">
        <f>_xlfn.XLOOKUP(A16,'Trades_External (Client Record)'!A15:A35,'Trades_External (Client Record)'!F15:F35)</f>
        <v>525</v>
      </c>
      <c r="D16" t="str">
        <f>_xlfn.XLOOKUP(A16,'Trades_External (Client Record)'!A15:A35,'Trades_External (Client Record)'!H15:H35)</f>
        <v>Pending</v>
      </c>
      <c r="E16">
        <f>_xlfn.XLOOKUP(A16,'Trades_Internal (Bank Records)'!A16:A36,'Trades_Internal (Bank Records)'!E16:E36)</f>
        <v>1000</v>
      </c>
      <c r="F16">
        <f>_xlfn.XLOOKUP(A16,'Trades_Internal (Bank Records)'!A16:A36,'Trades_Internal (Bank Records)'!F16:F36)</f>
        <v>525</v>
      </c>
      <c r="G16" t="str">
        <f>_xlfn.XLOOKUP(A16,'Trades_Internal (Bank Records)'!A16:A36,'Trades_Internal (Bank Records)'!H16:H36)</f>
        <v>Pending</v>
      </c>
      <c r="H16" t="str">
        <f t="shared" si="0"/>
        <v>Match</v>
      </c>
      <c r="I16" t="str">
        <f t="shared" si="1"/>
        <v>Match</v>
      </c>
      <c r="J16" t="str">
        <f t="shared" si="2"/>
        <v>Match</v>
      </c>
      <c r="L16" t="str">
        <f t="shared" si="3"/>
        <v>OK</v>
      </c>
    </row>
    <row r="17" spans="1:12">
      <c r="A17" t="str">
        <f>'Trades_Internal (Bank Records)'!A18</f>
        <v>TRD016</v>
      </c>
      <c r="B17">
        <f>_xlfn.XLOOKUP(A17,'Trades_External (Client Record)'!A16:A36,'Trades_External (Client Record)'!E16:E36)</f>
        <v>300</v>
      </c>
      <c r="C17">
        <f>_xlfn.XLOOKUP(A17,'Trades_External (Client Record)'!A16:A36,'Trades_External (Client Record)'!F16:F36)</f>
        <v>1115</v>
      </c>
      <c r="D17" t="str">
        <f>_xlfn.XLOOKUP(A17,'Trades_External (Client Record)'!A16:A36,'Trades_External (Client Record)'!H16:H36)</f>
        <v>Settled</v>
      </c>
      <c r="E17">
        <f>_xlfn.XLOOKUP(A17,'Trades_Internal (Bank Records)'!A17:A37,'Trades_Internal (Bank Records)'!E17:E37)</f>
        <v>300</v>
      </c>
      <c r="F17">
        <f>_xlfn.XLOOKUP(A17,'Trades_Internal (Bank Records)'!A17:A37,'Trades_Internal (Bank Records)'!F17:F37)</f>
        <v>1115</v>
      </c>
      <c r="G17" t="str">
        <f>_xlfn.XLOOKUP(A17,'Trades_Internal (Bank Records)'!A17:A37,'Trades_Internal (Bank Records)'!H17:H37)</f>
        <v>Settled</v>
      </c>
      <c r="H17" t="str">
        <f t="shared" si="0"/>
        <v>Match</v>
      </c>
      <c r="I17" t="str">
        <f t="shared" si="1"/>
        <v>Match</v>
      </c>
      <c r="J17" t="str">
        <f t="shared" si="2"/>
        <v>Match</v>
      </c>
      <c r="L17" t="str">
        <f t="shared" si="3"/>
        <v>OK</v>
      </c>
    </row>
    <row r="18" spans="1:12">
      <c r="A18" t="str">
        <f>'Trades_Internal (Bank Records)'!A19</f>
        <v>TRD017</v>
      </c>
      <c r="B18">
        <f>_xlfn.XLOOKUP(A18,'Trades_External (Client Record)'!A17:A37,'Trades_External (Client Record)'!E17:E37)</f>
        <v>600</v>
      </c>
      <c r="C18">
        <f>_xlfn.XLOOKUP(A18,'Trades_External (Client Record)'!A17:A37,'Trades_External (Client Record)'!F17:F37)</f>
        <v>675</v>
      </c>
      <c r="D18" t="str">
        <f>_xlfn.XLOOKUP(A18,'Trades_External (Client Record)'!A17:A37,'Trades_External (Client Record)'!H17:H37)</f>
        <v>Settled</v>
      </c>
      <c r="E18">
        <f>_xlfn.XLOOKUP(A18,'Trades_Internal (Bank Records)'!A18:A38,'Trades_Internal (Bank Records)'!E18:E38)</f>
        <v>600</v>
      </c>
      <c r="F18">
        <f>_xlfn.XLOOKUP(A18,'Trades_Internal (Bank Records)'!A18:A38,'Trades_Internal (Bank Records)'!F18:F38)</f>
        <v>675</v>
      </c>
      <c r="G18" t="str">
        <f>_xlfn.XLOOKUP(A18,'Trades_Internal (Bank Records)'!A18:A38,'Trades_Internal (Bank Records)'!H18:H38)</f>
        <v>Settled</v>
      </c>
      <c r="H18" t="str">
        <f t="shared" si="0"/>
        <v>Match</v>
      </c>
      <c r="I18" t="str">
        <f t="shared" si="1"/>
        <v>Match</v>
      </c>
      <c r="J18" t="str">
        <f t="shared" si="2"/>
        <v>Match</v>
      </c>
      <c r="L18" t="str">
        <f t="shared" si="3"/>
        <v>OK</v>
      </c>
    </row>
    <row r="19" spans="1:12">
      <c r="A19" t="str">
        <f>'Trades_Internal (Bank Records)'!A20</f>
        <v>TRD018</v>
      </c>
      <c r="B19">
        <f>_xlfn.XLOOKUP(A19,'Trades_External (Client Record)'!A18:A38,'Trades_External (Client Record)'!E18:E38)</f>
        <v>400</v>
      </c>
      <c r="C19">
        <f>_xlfn.XLOOKUP(A19,'Trades_External (Client Record)'!A18:A38,'Trades_External (Client Record)'!F18:F38)</f>
        <v>1095</v>
      </c>
      <c r="D19" t="str">
        <f>_xlfn.XLOOKUP(A19,'Trades_External (Client Record)'!A18:A38,'Trades_External (Client Record)'!H18:H38)</f>
        <v>Pending</v>
      </c>
      <c r="E19">
        <f>_xlfn.XLOOKUP(A19,'Trades_Internal (Bank Records)'!A19:A39,'Trades_Internal (Bank Records)'!E19:E39)</f>
        <v>400</v>
      </c>
      <c r="F19">
        <f>_xlfn.XLOOKUP(A19,'Trades_Internal (Bank Records)'!A19:A39,'Trades_Internal (Bank Records)'!F19:F39)</f>
        <v>1095</v>
      </c>
      <c r="G19" t="str">
        <f>_xlfn.XLOOKUP(A19,'Trades_Internal (Bank Records)'!A19:A39,'Trades_Internal (Bank Records)'!H19:H39)</f>
        <v>Pending</v>
      </c>
      <c r="H19" t="str">
        <f t="shared" si="0"/>
        <v>Match</v>
      </c>
      <c r="I19" t="str">
        <f t="shared" si="1"/>
        <v>Match</v>
      </c>
      <c r="J19" t="str">
        <f t="shared" si="2"/>
        <v>Match</v>
      </c>
      <c r="L19" t="str">
        <f t="shared" si="3"/>
        <v>OK</v>
      </c>
    </row>
    <row r="20" spans="1:12">
      <c r="A20" t="str">
        <f>'Trades_Internal (Bank Records)'!A21</f>
        <v>TRD019</v>
      </c>
      <c r="B20">
        <f>_xlfn.XLOOKUP(A20,'Trades_External (Client Record)'!A19:A39,'Trades_External (Client Record)'!E19:E39)</f>
        <v>1000</v>
      </c>
      <c r="C20">
        <f>_xlfn.XLOOKUP(A20,'Trades_External (Client Record)'!A19:A39,'Trades_External (Client Record)'!F19:F39)</f>
        <v>155</v>
      </c>
      <c r="D20" t="str">
        <f>_xlfn.XLOOKUP(A20,'Trades_External (Client Record)'!A19:A39,'Trades_External (Client Record)'!H19:H39)</f>
        <v>Settled</v>
      </c>
      <c r="E20">
        <f>_xlfn.XLOOKUP(A20,'Trades_Internal (Bank Records)'!A20:A40,'Trades_Internal (Bank Records)'!E20:E40)</f>
        <v>1000</v>
      </c>
      <c r="F20">
        <f>_xlfn.XLOOKUP(A20,'Trades_Internal (Bank Records)'!A20:A40,'Trades_Internal (Bank Records)'!F20:F40)</f>
        <v>155</v>
      </c>
      <c r="G20" t="str">
        <f>_xlfn.XLOOKUP(A20,'Trades_Internal (Bank Records)'!A20:A40,'Trades_Internal (Bank Records)'!H20:H40)</f>
        <v>Settled</v>
      </c>
      <c r="H20" t="str">
        <f t="shared" si="0"/>
        <v>Match</v>
      </c>
      <c r="I20" t="str">
        <f t="shared" si="1"/>
        <v>Match</v>
      </c>
      <c r="J20" t="str">
        <f t="shared" si="2"/>
        <v>Match</v>
      </c>
      <c r="L20" t="str">
        <f t="shared" si="3"/>
        <v>OK</v>
      </c>
    </row>
    <row r="21" spans="1:12">
      <c r="A21" t="str">
        <f>'Trades_Internal (Bank Records)'!A22</f>
        <v>TRD020</v>
      </c>
      <c r="B21">
        <f>_xlfn.XLOOKUP(A21,'Trades_External (Client Record)'!A20:A40,'Trades_External (Client Record)'!E20:E40)</f>
        <v>500</v>
      </c>
      <c r="C21">
        <f>_xlfn.XLOOKUP(A21,'Trades_External (Client Record)'!A20:A40,'Trades_External (Client Record)'!F20:F40)</f>
        <v>1690</v>
      </c>
      <c r="D21" t="str">
        <f>_xlfn.XLOOKUP(A21,'Trades_External (Client Record)'!A20:A40,'Trades_External (Client Record)'!H20:H40)</f>
        <v>Settled</v>
      </c>
      <c r="E21">
        <f>_xlfn.XLOOKUP(A21,'Trades_Internal (Bank Records)'!A21:A41,'Trades_Internal (Bank Records)'!E21:E41)</f>
        <v>500</v>
      </c>
      <c r="F21">
        <f>_xlfn.XLOOKUP(A21,'Trades_Internal (Bank Records)'!A21:A41,'Trades_Internal (Bank Records)'!F21:F41)</f>
        <v>1690</v>
      </c>
      <c r="G21" t="str">
        <f>_xlfn.XLOOKUP(A21,'Trades_Internal (Bank Records)'!A21:A41,'Trades_Internal (Bank Records)'!H21:H41)</f>
        <v>Settled</v>
      </c>
      <c r="H21" t="str">
        <f t="shared" si="0"/>
        <v>Match</v>
      </c>
      <c r="I21" t="str">
        <f t="shared" si="1"/>
        <v>Match</v>
      </c>
      <c r="J21" t="str">
        <f t="shared" si="2"/>
        <v>Match</v>
      </c>
      <c r="L21" t="str">
        <f t="shared" si="3"/>
        <v>OK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B910-5B52-4142-97BA-F884A82210E1}">
  <dimension ref="A1:L21"/>
  <sheetViews>
    <sheetView workbookViewId="0">
      <selection sqref="A1:L21"/>
    </sheetView>
  </sheetViews>
  <sheetFormatPr defaultRowHeight="15"/>
  <cols>
    <col min="4" max="4" width="11" customWidth="1"/>
    <col min="8" max="8" width="28" customWidth="1"/>
  </cols>
  <sheetData>
    <row r="1" spans="1:12">
      <c r="A1" t="s">
        <v>0</v>
      </c>
      <c r="B1" s="2" t="s">
        <v>48</v>
      </c>
      <c r="C1" s="3" t="s">
        <v>49</v>
      </c>
      <c r="D1" s="4" t="s">
        <v>50</v>
      </c>
      <c r="E1" s="2" t="s">
        <v>51</v>
      </c>
      <c r="F1" s="3" t="s">
        <v>52</v>
      </c>
      <c r="G1" s="4" t="s">
        <v>53</v>
      </c>
      <c r="H1" t="s">
        <v>54</v>
      </c>
      <c r="I1" t="s">
        <v>55</v>
      </c>
      <c r="J1" t="s">
        <v>56</v>
      </c>
      <c r="L1" t="s">
        <v>57</v>
      </c>
    </row>
    <row r="2" spans="1:12">
      <c r="A2" t="str">
        <f>'Trades_Internal (Bank Records)'!A3</f>
        <v>TRD001</v>
      </c>
      <c r="B2" s="2">
        <f>'Trades_External (Client Record)'!E2</f>
        <v>500</v>
      </c>
      <c r="C2" s="3">
        <f>'Trades_External (Client Record)'!F2</f>
        <v>1850.5</v>
      </c>
      <c r="D2" s="4" t="str">
        <f>'Trades_External (Client Record)'!H2</f>
        <v>Settled</v>
      </c>
      <c r="E2" s="2">
        <f>'Trades_Internal (Bank Records)'!E3</f>
        <v>500</v>
      </c>
      <c r="F2" s="3">
        <f>'Trades_Internal (Bank Records)'!F3</f>
        <v>1850.5</v>
      </c>
      <c r="G2" s="4" t="str">
        <f>'Trades_Internal (Bank Records)'!H3</f>
        <v>Settled</v>
      </c>
      <c r="H2" t="str">
        <f>IF(B2=E2,"Match","Mismatch")</f>
        <v>Match</v>
      </c>
      <c r="I2" t="str">
        <f>IF(C2=F2,"Match","Mismatch")</f>
        <v>Match</v>
      </c>
      <c r="J2" t="str">
        <f>IF(D2=G2,"Match","Mismatch")</f>
        <v>Match</v>
      </c>
      <c r="L2" t="str">
        <f>IF(AND(B2=E2,C2=F2,D2=G2),"OK","Exception")</f>
        <v>OK</v>
      </c>
    </row>
    <row r="3" spans="1:12">
      <c r="A3" t="str">
        <f>'Trades_Internal (Bank Records)'!A4</f>
        <v>TRD002</v>
      </c>
      <c r="B3" s="2">
        <f>'Trades_External (Client Record)'!E3</f>
        <v>200</v>
      </c>
      <c r="C3" s="3">
        <f>'Trades_External (Client Record)'!F3</f>
        <v>2450</v>
      </c>
      <c r="D3" s="4" t="str">
        <f>'Trades_External (Client Record)'!H3</f>
        <v>Settled</v>
      </c>
      <c r="E3" s="2">
        <f>'Trades_Internal (Bank Records)'!E4</f>
        <v>200</v>
      </c>
      <c r="F3" s="3">
        <f>'Trades_Internal (Bank Records)'!F4</f>
        <v>2450</v>
      </c>
      <c r="G3" s="4" t="str">
        <f>'Trades_Internal (Bank Records)'!H4</f>
        <v>Settled</v>
      </c>
      <c r="H3" t="str">
        <f t="shared" ref="H3:H21" si="0">IF(B3=E3,"Match","Mismatch")</f>
        <v>Match</v>
      </c>
      <c r="I3" t="str">
        <f t="shared" ref="I3:I21" si="1">IF(C3=F3,"Match","Mismatch")</f>
        <v>Match</v>
      </c>
      <c r="J3" t="str">
        <f t="shared" ref="J3:J21" si="2">IF(D3=G3,"Match","Mismatch")</f>
        <v>Match</v>
      </c>
      <c r="L3" t="str">
        <f t="shared" ref="L3:L21" si="3">IF(AND(B3=E3,C3=F3,D3=G3),"OK","Exception")</f>
        <v>OK</v>
      </c>
    </row>
    <row r="4" spans="1:12">
      <c r="A4" t="str">
        <f>'Trades_Internal (Bank Records)'!A5</f>
        <v>TRD003</v>
      </c>
      <c r="B4" s="2">
        <f>'Trades_External (Client Record)'!E4</f>
        <v>1000</v>
      </c>
      <c r="C4" s="3">
        <f>'Trades_External (Client Record)'!F4</f>
        <v>1650.75</v>
      </c>
      <c r="D4" s="4" t="str">
        <f>'Trades_External (Client Record)'!H4</f>
        <v>Settled</v>
      </c>
      <c r="E4" s="2">
        <f>'Trades_Internal (Bank Records)'!E5</f>
        <v>1000</v>
      </c>
      <c r="F4" s="3">
        <f>'Trades_Internal (Bank Records)'!F5</f>
        <v>1650.75</v>
      </c>
      <c r="G4" s="4" t="str">
        <f>'Trades_Internal (Bank Records)'!H5</f>
        <v>Settled</v>
      </c>
      <c r="H4" t="str">
        <f t="shared" si="0"/>
        <v>Match</v>
      </c>
      <c r="I4" t="str">
        <f t="shared" si="1"/>
        <v>Match</v>
      </c>
      <c r="J4" t="str">
        <f t="shared" si="2"/>
        <v>Match</v>
      </c>
      <c r="L4" t="str">
        <f t="shared" si="3"/>
        <v>OK</v>
      </c>
    </row>
    <row r="5" spans="1:12">
      <c r="A5" t="str">
        <f>'Trades_Internal (Bank Records)'!A6</f>
        <v>TRD004</v>
      </c>
      <c r="B5" s="2">
        <f>'Trades_External (Client Record)'!E5</f>
        <v>300</v>
      </c>
      <c r="C5" s="3">
        <f>'Trades_External (Client Record)'!F5</f>
        <v>3850</v>
      </c>
      <c r="D5" s="4" t="str">
        <f>'Trades_External (Client Record)'!H5</f>
        <v>Pending</v>
      </c>
      <c r="E5" s="2">
        <f>'Trades_Internal (Bank Records)'!E6</f>
        <v>300</v>
      </c>
      <c r="F5" s="3">
        <f>'Trades_Internal (Bank Records)'!F6</f>
        <v>3850</v>
      </c>
      <c r="G5" s="4" t="str">
        <f>'Trades_Internal (Bank Records)'!H6</f>
        <v>Pending</v>
      </c>
      <c r="H5" t="str">
        <f t="shared" si="0"/>
        <v>Match</v>
      </c>
      <c r="I5" t="str">
        <f t="shared" si="1"/>
        <v>Match</v>
      </c>
      <c r="J5" t="str">
        <f t="shared" si="2"/>
        <v>Match</v>
      </c>
      <c r="L5" t="str">
        <f t="shared" si="3"/>
        <v>OK</v>
      </c>
    </row>
    <row r="6" spans="1:12">
      <c r="A6" t="str">
        <f>'Trades_Internal (Bank Records)'!A7</f>
        <v>TRD005</v>
      </c>
      <c r="B6" s="2">
        <f>'Trades_External (Client Record)'!E6</f>
        <v>1500</v>
      </c>
      <c r="C6" s="3">
        <f>'Trades_External (Client Record)'!F6</f>
        <v>520.29999999999995</v>
      </c>
      <c r="D6" s="4" t="str">
        <f>'Trades_External (Client Record)'!H6</f>
        <v>Settled</v>
      </c>
      <c r="E6" s="2">
        <f>'Trades_Internal (Bank Records)'!E7</f>
        <v>1500</v>
      </c>
      <c r="F6" s="3">
        <f>'Trades_Internal (Bank Records)'!F7</f>
        <v>520.29999999999995</v>
      </c>
      <c r="G6" s="4" t="str">
        <f>'Trades_Internal (Bank Records)'!H7</f>
        <v>Settled</v>
      </c>
      <c r="H6" t="str">
        <f t="shared" si="0"/>
        <v>Match</v>
      </c>
      <c r="I6" t="str">
        <f t="shared" si="1"/>
        <v>Match</v>
      </c>
      <c r="J6" t="str">
        <f t="shared" si="2"/>
        <v>Match</v>
      </c>
      <c r="L6" t="str">
        <f t="shared" si="3"/>
        <v>OK</v>
      </c>
    </row>
    <row r="7" spans="1:12">
      <c r="A7" t="str">
        <f>'Trades_Internal (Bank Records)'!A8</f>
        <v>TRD006</v>
      </c>
      <c r="B7" s="2">
        <f>'Trades_External (Client Record)'!E7</f>
        <v>800</v>
      </c>
      <c r="C7" s="3">
        <f>'Trades_External (Client Record)'!F7</f>
        <v>1120</v>
      </c>
      <c r="D7" s="4" t="str">
        <f>'Trades_External (Client Record)'!H7</f>
        <v>Settled</v>
      </c>
      <c r="E7" s="2">
        <f>'Trades_Internal (Bank Records)'!E8</f>
        <v>800</v>
      </c>
      <c r="F7" s="3">
        <f>'Trades_Internal (Bank Records)'!F8</f>
        <v>1120</v>
      </c>
      <c r="G7" s="4" t="str">
        <f>'Trades_Internal (Bank Records)'!H8</f>
        <v>Failed</v>
      </c>
      <c r="H7" t="str">
        <f t="shared" si="0"/>
        <v>Match</v>
      </c>
      <c r="I7" t="str">
        <f t="shared" si="1"/>
        <v>Match</v>
      </c>
      <c r="J7" t="str">
        <f t="shared" si="2"/>
        <v>Mismatch</v>
      </c>
      <c r="L7" t="str">
        <f t="shared" si="3"/>
        <v>Exception</v>
      </c>
    </row>
    <row r="8" spans="1:12">
      <c r="A8" t="str">
        <f>'Trades_Internal (Bank Records)'!A9</f>
        <v>TRD007</v>
      </c>
      <c r="B8" s="2">
        <f>'Trades_External (Client Record)'!E8</f>
        <v>400</v>
      </c>
      <c r="C8" s="3">
        <f>'Trades_External (Client Record)'!F8</f>
        <v>680</v>
      </c>
      <c r="D8" s="4" t="str">
        <f>'Trades_External (Client Record)'!H8</f>
        <v>Pending</v>
      </c>
      <c r="E8" s="2">
        <f>'Trades_Internal (Bank Records)'!E9</f>
        <v>400</v>
      </c>
      <c r="F8" s="3">
        <f>'Trades_Internal (Bank Records)'!F9</f>
        <v>680</v>
      </c>
      <c r="G8" s="4" t="str">
        <f>'Trades_Internal (Bank Records)'!H9</f>
        <v>Pending</v>
      </c>
      <c r="H8" t="str">
        <f t="shared" si="0"/>
        <v>Match</v>
      </c>
      <c r="I8" t="str">
        <f t="shared" si="1"/>
        <v>Match</v>
      </c>
      <c r="J8" t="str">
        <f t="shared" si="2"/>
        <v>Match</v>
      </c>
      <c r="L8" t="str">
        <f t="shared" si="3"/>
        <v>OK</v>
      </c>
    </row>
    <row r="9" spans="1:12">
      <c r="A9" t="str">
        <f>'Trades_Internal (Bank Records)'!A10</f>
        <v>TRD008</v>
      </c>
      <c r="B9" s="2">
        <f>'Trades_External (Client Record)'!E9</f>
        <v>600</v>
      </c>
      <c r="C9" s="3">
        <f>'Trades_External (Client Record)'!F9</f>
        <v>1100</v>
      </c>
      <c r="D9" s="4" t="str">
        <f>'Trades_External (Client Record)'!H9</f>
        <v>Settled</v>
      </c>
      <c r="E9" s="2">
        <f>'Trades_Internal (Bank Records)'!E10</f>
        <v>600</v>
      </c>
      <c r="F9" s="3">
        <f>'Trades_Internal (Bank Records)'!F10</f>
        <v>1100</v>
      </c>
      <c r="G9" s="4" t="str">
        <f>'Trades_Internal (Bank Records)'!H10</f>
        <v>Settled</v>
      </c>
      <c r="H9" t="str">
        <f t="shared" si="0"/>
        <v>Match</v>
      </c>
      <c r="I9" t="str">
        <f t="shared" si="1"/>
        <v>Match</v>
      </c>
      <c r="J9" t="str">
        <f t="shared" si="2"/>
        <v>Match</v>
      </c>
      <c r="L9" t="str">
        <f t="shared" si="3"/>
        <v>OK</v>
      </c>
    </row>
    <row r="10" spans="1:12">
      <c r="A10" t="str">
        <f>'Trades_Internal (Bank Records)'!A11</f>
        <v>TRD009</v>
      </c>
      <c r="B10" s="2">
        <f>'Trades_External (Client Record)'!E10</f>
        <v>2000</v>
      </c>
      <c r="C10" s="3">
        <f>'Trades_External (Client Record)'!F10</f>
        <v>150</v>
      </c>
      <c r="D10" s="4" t="str">
        <f>'Trades_External (Client Record)'!H10</f>
        <v>Settled</v>
      </c>
      <c r="E10" s="2">
        <f>'Trades_Internal (Bank Records)'!E11</f>
        <v>2000</v>
      </c>
      <c r="F10" s="3">
        <f>'Trades_Internal (Bank Records)'!F11</f>
        <v>150</v>
      </c>
      <c r="G10" s="4" t="str">
        <f>'Trades_Internal (Bank Records)'!H11</f>
        <v>Settled</v>
      </c>
      <c r="H10" t="str">
        <f t="shared" si="0"/>
        <v>Match</v>
      </c>
      <c r="I10" t="str">
        <f t="shared" si="1"/>
        <v>Match</v>
      </c>
      <c r="J10" t="str">
        <f t="shared" si="2"/>
        <v>Match</v>
      </c>
      <c r="L10" t="str">
        <f t="shared" si="3"/>
        <v>OK</v>
      </c>
    </row>
    <row r="11" spans="1:12">
      <c r="A11" t="str">
        <f>'Trades_Internal (Bank Records)'!A12</f>
        <v>TRD010</v>
      </c>
      <c r="B11" s="2">
        <f>'Trades_External (Client Record)'!E11</f>
        <v>250</v>
      </c>
      <c r="C11" s="3">
        <f>'Trades_External (Client Record)'!F11</f>
        <v>1680</v>
      </c>
      <c r="D11" s="4" t="str">
        <f>'Trades_External (Client Record)'!H11</f>
        <v>Pending</v>
      </c>
      <c r="E11" s="2">
        <f>'Trades_Internal (Bank Records)'!E12</f>
        <v>250</v>
      </c>
      <c r="F11" s="3">
        <f>'Trades_Internal (Bank Records)'!F12</f>
        <v>1680</v>
      </c>
      <c r="G11" s="4" t="str">
        <f>'Trades_Internal (Bank Records)'!H12</f>
        <v>Pending</v>
      </c>
      <c r="H11" t="str">
        <f t="shared" si="0"/>
        <v>Match</v>
      </c>
      <c r="I11" t="str">
        <f t="shared" si="1"/>
        <v>Match</v>
      </c>
      <c r="J11" t="str">
        <f t="shared" si="2"/>
        <v>Match</v>
      </c>
      <c r="L11" t="str">
        <f t="shared" si="3"/>
        <v>OK</v>
      </c>
    </row>
    <row r="12" spans="1:12">
      <c r="A12" t="str">
        <f>'Trades_Internal (Bank Records)'!A13</f>
        <v>TRD011</v>
      </c>
      <c r="B12" s="2">
        <f>'Trades_External (Client Record)'!E12</f>
        <v>750</v>
      </c>
      <c r="C12" s="3">
        <f>'Trades_External (Client Record)'!F12</f>
        <v>1845</v>
      </c>
      <c r="D12" s="4" t="str">
        <f>'Trades_External (Client Record)'!H12</f>
        <v>Settled</v>
      </c>
      <c r="E12" s="2">
        <f>'Trades_Internal (Bank Records)'!E13</f>
        <v>750</v>
      </c>
      <c r="F12" s="3">
        <f>'Trades_Internal (Bank Records)'!F13</f>
        <v>1845</v>
      </c>
      <c r="G12" s="4" t="str">
        <f>'Trades_Internal (Bank Records)'!H13</f>
        <v>Settled</v>
      </c>
      <c r="H12" t="str">
        <f t="shared" si="0"/>
        <v>Match</v>
      </c>
      <c r="I12" t="str">
        <f t="shared" si="1"/>
        <v>Match</v>
      </c>
      <c r="J12" t="str">
        <f t="shared" si="2"/>
        <v>Match</v>
      </c>
      <c r="L12" t="str">
        <f t="shared" si="3"/>
        <v>OK</v>
      </c>
    </row>
    <row r="13" spans="1:12">
      <c r="A13" t="str">
        <f>'Trades_Internal (Bank Records)'!A14</f>
        <v>TRD012</v>
      </c>
      <c r="B13" s="2">
        <f>'Trades_External (Client Record)'!E13</f>
        <v>100</v>
      </c>
      <c r="C13" s="3">
        <f>'Trades_External (Client Record)'!F13</f>
        <v>2460</v>
      </c>
      <c r="D13" s="4" t="str">
        <f>'Trades_External (Client Record)'!H13</f>
        <v>Settled</v>
      </c>
      <c r="E13" s="2">
        <f>'Trades_Internal (Bank Records)'!E14</f>
        <v>100</v>
      </c>
      <c r="F13" s="3">
        <f>'Trades_Internal (Bank Records)'!F14</f>
        <v>2460</v>
      </c>
      <c r="G13" s="4" t="str">
        <f>'Trades_Internal (Bank Records)'!H14</f>
        <v>Settled</v>
      </c>
      <c r="H13" t="str">
        <f t="shared" si="0"/>
        <v>Match</v>
      </c>
      <c r="I13" t="str">
        <f t="shared" si="1"/>
        <v>Match</v>
      </c>
      <c r="J13" t="str">
        <f t="shared" si="2"/>
        <v>Match</v>
      </c>
      <c r="L13" t="str">
        <f t="shared" si="3"/>
        <v>OK</v>
      </c>
    </row>
    <row r="14" spans="1:12">
      <c r="A14" t="str">
        <f>'Trades_Internal (Bank Records)'!A15</f>
        <v>TRD013</v>
      </c>
      <c r="B14" s="2">
        <f>'Trades_External (Client Record)'!E14</f>
        <v>500</v>
      </c>
      <c r="C14" s="3">
        <f>'Trades_External (Client Record)'!F14</f>
        <v>1645</v>
      </c>
      <c r="D14" s="4" t="str">
        <f>'Trades_External (Client Record)'!H14</f>
        <v>Failed</v>
      </c>
      <c r="E14" s="2">
        <f>'Trades_Internal (Bank Records)'!E15</f>
        <v>500</v>
      </c>
      <c r="F14" s="3">
        <f>'Trades_Internal (Bank Records)'!F15</f>
        <v>1645</v>
      </c>
      <c r="G14" s="4" t="str">
        <f>'Trades_Internal (Bank Records)'!H15</f>
        <v>Failed</v>
      </c>
      <c r="H14" t="str">
        <f t="shared" si="0"/>
        <v>Match</v>
      </c>
      <c r="I14" t="str">
        <f t="shared" si="1"/>
        <v>Match</v>
      </c>
      <c r="J14" t="str">
        <f t="shared" si="2"/>
        <v>Match</v>
      </c>
      <c r="L14" t="str">
        <f t="shared" si="3"/>
        <v>OK</v>
      </c>
    </row>
    <row r="15" spans="1:12">
      <c r="A15" t="str">
        <f>'Trades_Internal (Bank Records)'!A16</f>
        <v>TRD014</v>
      </c>
      <c r="B15" s="2">
        <f>'Trades_External (Client Record)'!E15</f>
        <v>200</v>
      </c>
      <c r="C15" s="3">
        <f>'Trades_External (Client Record)'!F15</f>
        <v>3860</v>
      </c>
      <c r="D15" s="4" t="str">
        <f>'Trades_External (Client Record)'!H15</f>
        <v>Settled</v>
      </c>
      <c r="E15" s="2">
        <f>'Trades_Internal (Bank Records)'!E16</f>
        <v>200</v>
      </c>
      <c r="F15" s="3">
        <f>'Trades_Internal (Bank Records)'!F16</f>
        <v>3860</v>
      </c>
      <c r="G15" s="4" t="str">
        <f>'Trades_Internal (Bank Records)'!H16</f>
        <v>Settled</v>
      </c>
      <c r="H15" t="str">
        <f t="shared" si="0"/>
        <v>Match</v>
      </c>
      <c r="I15" t="str">
        <f t="shared" si="1"/>
        <v>Match</v>
      </c>
      <c r="J15" t="str">
        <f t="shared" si="2"/>
        <v>Match</v>
      </c>
      <c r="L15" t="str">
        <f t="shared" si="3"/>
        <v>OK</v>
      </c>
    </row>
    <row r="16" spans="1:12">
      <c r="A16" t="str">
        <f>'Trades_Internal (Bank Records)'!A17</f>
        <v>TRD015</v>
      </c>
      <c r="B16" s="2">
        <f>'Trades_External (Client Record)'!E16</f>
        <v>1000</v>
      </c>
      <c r="C16" s="3">
        <f>'Trades_External (Client Record)'!F16</f>
        <v>525</v>
      </c>
      <c r="D16" s="4" t="str">
        <f>'Trades_External (Client Record)'!H16</f>
        <v>Pending</v>
      </c>
      <c r="E16" s="2">
        <f>'Trades_Internal (Bank Records)'!E17</f>
        <v>1000</v>
      </c>
      <c r="F16" s="3">
        <f>'Trades_Internal (Bank Records)'!F17</f>
        <v>525</v>
      </c>
      <c r="G16" s="4" t="str">
        <f>'Trades_Internal (Bank Records)'!H17</f>
        <v>Pending</v>
      </c>
      <c r="H16" t="str">
        <f t="shared" si="0"/>
        <v>Match</v>
      </c>
      <c r="I16" t="str">
        <f t="shared" si="1"/>
        <v>Match</v>
      </c>
      <c r="J16" t="str">
        <f t="shared" si="2"/>
        <v>Match</v>
      </c>
      <c r="L16" t="str">
        <f t="shared" si="3"/>
        <v>OK</v>
      </c>
    </row>
    <row r="17" spans="1:12">
      <c r="A17" t="str">
        <f>'Trades_Internal (Bank Records)'!A18</f>
        <v>TRD016</v>
      </c>
      <c r="B17" s="2">
        <f>'Trades_External (Client Record)'!E17</f>
        <v>300</v>
      </c>
      <c r="C17" s="3">
        <f>'Trades_External (Client Record)'!F17</f>
        <v>1115</v>
      </c>
      <c r="D17" s="4" t="str">
        <f>'Trades_External (Client Record)'!H17</f>
        <v>Settled</v>
      </c>
      <c r="E17" s="2">
        <f>'Trades_Internal (Bank Records)'!E18</f>
        <v>300</v>
      </c>
      <c r="F17" s="3">
        <f>'Trades_Internal (Bank Records)'!F18</f>
        <v>1115</v>
      </c>
      <c r="G17" s="4" t="str">
        <f>'Trades_Internal (Bank Records)'!H18</f>
        <v>Settled</v>
      </c>
      <c r="H17" t="str">
        <f t="shared" si="0"/>
        <v>Match</v>
      </c>
      <c r="I17" t="str">
        <f t="shared" si="1"/>
        <v>Match</v>
      </c>
      <c r="J17" t="str">
        <f t="shared" si="2"/>
        <v>Match</v>
      </c>
      <c r="L17" t="str">
        <f t="shared" si="3"/>
        <v>OK</v>
      </c>
    </row>
    <row r="18" spans="1:12">
      <c r="A18" t="str">
        <f>'Trades_Internal (Bank Records)'!A19</f>
        <v>TRD017</v>
      </c>
      <c r="B18" s="2">
        <f>'Trades_External (Client Record)'!E18</f>
        <v>600</v>
      </c>
      <c r="C18" s="3">
        <f>'Trades_External (Client Record)'!F18</f>
        <v>675</v>
      </c>
      <c r="D18" s="4" t="str">
        <f>'Trades_External (Client Record)'!H18</f>
        <v>Settled</v>
      </c>
      <c r="E18" s="2">
        <f>'Trades_Internal (Bank Records)'!E19</f>
        <v>600</v>
      </c>
      <c r="F18" s="3">
        <f>'Trades_Internal (Bank Records)'!F19</f>
        <v>675</v>
      </c>
      <c r="G18" s="4" t="str">
        <f>'Trades_Internal (Bank Records)'!H19</f>
        <v>Settled</v>
      </c>
      <c r="H18" t="str">
        <f t="shared" si="0"/>
        <v>Match</v>
      </c>
      <c r="I18" t="str">
        <f t="shared" si="1"/>
        <v>Match</v>
      </c>
      <c r="J18" t="str">
        <f t="shared" si="2"/>
        <v>Match</v>
      </c>
      <c r="L18" t="str">
        <f t="shared" si="3"/>
        <v>OK</v>
      </c>
    </row>
    <row r="19" spans="1:12">
      <c r="A19" t="str">
        <f>'Trades_Internal (Bank Records)'!A20</f>
        <v>TRD018</v>
      </c>
      <c r="B19" s="2">
        <f>'Trades_External (Client Record)'!E19</f>
        <v>400</v>
      </c>
      <c r="C19" s="3">
        <f>'Trades_External (Client Record)'!F19</f>
        <v>1095</v>
      </c>
      <c r="D19" s="4" t="str">
        <f>'Trades_External (Client Record)'!H19</f>
        <v>Pending</v>
      </c>
      <c r="E19" s="2">
        <f>'Trades_Internal (Bank Records)'!E20</f>
        <v>400</v>
      </c>
      <c r="F19" s="3">
        <f>'Trades_Internal (Bank Records)'!F20</f>
        <v>1095</v>
      </c>
      <c r="G19" s="4" t="str">
        <f>'Trades_Internal (Bank Records)'!H20</f>
        <v>Pending</v>
      </c>
      <c r="H19" t="str">
        <f t="shared" si="0"/>
        <v>Match</v>
      </c>
      <c r="I19" t="str">
        <f t="shared" si="1"/>
        <v>Match</v>
      </c>
      <c r="J19" t="str">
        <f t="shared" si="2"/>
        <v>Match</v>
      </c>
      <c r="L19" t="str">
        <f t="shared" si="3"/>
        <v>OK</v>
      </c>
    </row>
    <row r="20" spans="1:12">
      <c r="A20" t="str">
        <f>'Trades_Internal (Bank Records)'!A21</f>
        <v>TRD019</v>
      </c>
      <c r="B20" s="2">
        <f>'Trades_External (Client Record)'!E20</f>
        <v>1000</v>
      </c>
      <c r="C20" s="3">
        <f>'Trades_External (Client Record)'!F20</f>
        <v>155</v>
      </c>
      <c r="D20" s="4" t="str">
        <f>'Trades_External (Client Record)'!H20</f>
        <v>Settled</v>
      </c>
      <c r="E20" s="2">
        <f>'Trades_Internal (Bank Records)'!E21</f>
        <v>1000</v>
      </c>
      <c r="F20" s="3">
        <f>'Trades_Internal (Bank Records)'!F21</f>
        <v>155</v>
      </c>
      <c r="G20" s="4" t="str">
        <f>'Trades_Internal (Bank Records)'!H21</f>
        <v>Settled</v>
      </c>
      <c r="H20" t="str">
        <f t="shared" si="0"/>
        <v>Match</v>
      </c>
      <c r="I20" t="str">
        <f t="shared" si="1"/>
        <v>Match</v>
      </c>
      <c r="J20" t="str">
        <f t="shared" si="2"/>
        <v>Match</v>
      </c>
      <c r="L20" t="str">
        <f t="shared" si="3"/>
        <v>OK</v>
      </c>
    </row>
    <row r="21" spans="1:12">
      <c r="A21" t="str">
        <f>'Trades_Internal (Bank Records)'!A22</f>
        <v>TRD020</v>
      </c>
      <c r="B21" s="2">
        <f>'Trades_External (Client Record)'!E21</f>
        <v>500</v>
      </c>
      <c r="C21" s="3">
        <f>'Trades_External (Client Record)'!F21</f>
        <v>1690</v>
      </c>
      <c r="D21" s="4" t="str">
        <f>'Trades_External (Client Record)'!H21</f>
        <v>Settled</v>
      </c>
      <c r="E21" s="2">
        <f>'Trades_Internal (Bank Records)'!E22</f>
        <v>500</v>
      </c>
      <c r="F21" s="3">
        <f>'Trades_Internal (Bank Records)'!F22</f>
        <v>1690</v>
      </c>
      <c r="G21" s="4" t="str">
        <f>'Trades_Internal (Bank Records)'!H22</f>
        <v>Settled</v>
      </c>
      <c r="H21" t="str">
        <f t="shared" si="0"/>
        <v>Match</v>
      </c>
      <c r="I21" t="str">
        <f t="shared" si="1"/>
        <v>Match</v>
      </c>
      <c r="J21" t="str">
        <f t="shared" si="2"/>
        <v>Match</v>
      </c>
      <c r="L21" t="str">
        <f t="shared" si="3"/>
        <v>OK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5333-265D-47FD-9FF7-F0037881507E}">
  <dimension ref="A1:L7"/>
  <sheetViews>
    <sheetView workbookViewId="0">
      <selection sqref="A1:O9"/>
    </sheetView>
  </sheetViews>
  <sheetFormatPr defaultRowHeight="15"/>
  <sheetData>
    <row r="1" spans="1:12">
      <c r="A1" t="str" cm="1">
        <f t="array" ref="A1:L1">_xlfn._xlws.FILTER(Reconciliation!A1:L21,Reconciliation!L1:L21="Exception")</f>
        <v>TRD006</v>
      </c>
      <c r="B1">
        <v>800</v>
      </c>
      <c r="C1">
        <v>1120</v>
      </c>
      <c r="D1" t="str">
        <v>Settled</v>
      </c>
      <c r="E1">
        <v>800</v>
      </c>
      <c r="F1">
        <v>1120</v>
      </c>
      <c r="G1" t="str">
        <v>Failed</v>
      </c>
      <c r="H1" t="str">
        <v>Match</v>
      </c>
      <c r="I1" t="str">
        <v>Match</v>
      </c>
      <c r="J1" t="str">
        <v>Mismatch</v>
      </c>
      <c r="K1">
        <v>0</v>
      </c>
      <c r="L1" t="str">
        <v>Exception</v>
      </c>
    </row>
    <row r="4" spans="1:12">
      <c r="A4" t="str" cm="1">
        <f t="array" ref="A4:L4">_xlfn._xlws.FILTER('Reconciliation xlookup'!A1:L21,'Reconciliation xlookup'!L1:L21="Exception")</f>
        <v>TRD006</v>
      </c>
      <c r="B4">
        <v>800</v>
      </c>
      <c r="C4">
        <v>1120</v>
      </c>
      <c r="D4" t="str">
        <v>Settled</v>
      </c>
      <c r="E4">
        <v>800</v>
      </c>
      <c r="F4">
        <v>1120</v>
      </c>
      <c r="G4" t="str">
        <v>Failed</v>
      </c>
      <c r="H4" t="str">
        <v>Match</v>
      </c>
      <c r="I4" t="str">
        <v>Match</v>
      </c>
      <c r="J4" t="str">
        <v>Mismatch</v>
      </c>
      <c r="K4">
        <v>0</v>
      </c>
      <c r="L4" t="str">
        <v>Exception</v>
      </c>
    </row>
    <row r="7" spans="1:12">
      <c r="A7" t="str" cm="1">
        <f t="array" ref="A7:L7">_xlfn._xlws.FILTER(Reconciliation!A1:L21,Reconciliation!L1:L21="Exception")</f>
        <v>TRD006</v>
      </c>
      <c r="B7">
        <v>800</v>
      </c>
      <c r="C7">
        <v>1120</v>
      </c>
      <c r="D7" t="str">
        <v>Settled</v>
      </c>
      <c r="E7">
        <v>800</v>
      </c>
      <c r="F7">
        <v>1120</v>
      </c>
      <c r="G7" t="str">
        <v>Failed</v>
      </c>
      <c r="H7" t="str">
        <v>Match</v>
      </c>
      <c r="I7" t="str">
        <v>Match</v>
      </c>
      <c r="J7" t="str">
        <v>Mismatch</v>
      </c>
      <c r="K7">
        <v>0</v>
      </c>
      <c r="L7" t="str">
        <v>Exception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DFBC-8640-460A-910D-FC704FC163A5}">
  <dimension ref="A1:L4"/>
  <sheetViews>
    <sheetView workbookViewId="0"/>
  </sheetViews>
  <sheetFormatPr defaultRowHeight="15"/>
  <cols>
    <col min="1" max="1" width="10.42578125" bestFit="1" customWidth="1"/>
    <col min="2" max="2" width="10.85546875" bestFit="1" customWidth="1"/>
    <col min="3" max="3" width="11.7109375" bestFit="1" customWidth="1"/>
    <col min="4" max="4" width="12.7109375" bestFit="1" customWidth="1"/>
    <col min="5" max="5" width="10.5703125" bestFit="1" customWidth="1"/>
    <col min="6" max="6" width="11.42578125" bestFit="1" customWidth="1"/>
    <col min="7" max="7" width="12.42578125" bestFit="1" customWidth="1"/>
    <col min="8" max="8" width="13.7109375" bestFit="1" customWidth="1"/>
    <col min="9" max="9" width="14.42578125" bestFit="1" customWidth="1"/>
    <col min="10" max="10" width="14.7109375" bestFit="1" customWidth="1"/>
    <col min="11" max="11" width="9.85546875" bestFit="1" customWidth="1"/>
    <col min="12" max="12" width="9.7109375" bestFit="1" customWidth="1"/>
  </cols>
  <sheetData>
    <row r="1" spans="1:12">
      <c r="A1" s="7" t="s">
        <v>58</v>
      </c>
    </row>
    <row r="3" spans="1:12">
      <c r="A3" t="s">
        <v>0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59</v>
      </c>
      <c r="L3" t="s">
        <v>57</v>
      </c>
    </row>
    <row r="4" spans="1:12">
      <c r="A4" t="s">
        <v>26</v>
      </c>
      <c r="B4">
        <v>800</v>
      </c>
      <c r="C4">
        <v>1120</v>
      </c>
      <c r="D4" t="s">
        <v>12</v>
      </c>
      <c r="E4">
        <v>800</v>
      </c>
      <c r="F4">
        <v>1120</v>
      </c>
      <c r="G4" t="s">
        <v>29</v>
      </c>
      <c r="H4" t="s">
        <v>60</v>
      </c>
      <c r="I4" t="s">
        <v>60</v>
      </c>
      <c r="J4" t="s">
        <v>61</v>
      </c>
      <c r="L4" t="s">
        <v>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838D-7F57-4311-8EF2-0662391EE4BE}">
  <dimension ref="B1:J7"/>
  <sheetViews>
    <sheetView tabSelected="1" workbookViewId="0">
      <selection activeCell="J5" sqref="J5"/>
    </sheetView>
  </sheetViews>
  <sheetFormatPr defaultRowHeight="15"/>
  <cols>
    <col min="2" max="3" width="15.5703125" bestFit="1" customWidth="1"/>
    <col min="5" max="5" width="10.42578125" bestFit="1" customWidth="1"/>
    <col min="8" max="8" width="16.42578125" bestFit="1" customWidth="1"/>
    <col min="9" max="9" width="15.5703125" bestFit="1" customWidth="1"/>
    <col min="10" max="10" width="11.7109375" bestFit="1" customWidth="1"/>
  </cols>
  <sheetData>
    <row r="1" spans="2:10">
      <c r="H1" s="6" t="s">
        <v>57</v>
      </c>
      <c r="I1" t="s">
        <v>62</v>
      </c>
    </row>
    <row r="3" spans="2:10">
      <c r="B3" t="s">
        <v>63</v>
      </c>
      <c r="E3">
        <f>COUNTA(Reconciliation!A2:A21)</f>
        <v>20</v>
      </c>
      <c r="I3" s="6" t="s">
        <v>56</v>
      </c>
    </row>
    <row r="4" spans="2:10">
      <c r="B4" t="s">
        <v>64</v>
      </c>
      <c r="D4" t="s">
        <v>60</v>
      </c>
      <c r="E4">
        <f>COUNTIF(Reconciliation!L2:L21,"OK")</f>
        <v>19</v>
      </c>
      <c r="I4" t="s">
        <v>61</v>
      </c>
      <c r="J4" t="s">
        <v>65</v>
      </c>
    </row>
    <row r="5" spans="2:10">
      <c r="B5" t="s">
        <v>62</v>
      </c>
      <c r="D5" t="s">
        <v>62</v>
      </c>
      <c r="E5">
        <f>COUNTIF(Reconciliation!L1:L21,Dashboard!D5)</f>
        <v>1</v>
      </c>
      <c r="H5" t="s">
        <v>66</v>
      </c>
      <c r="I5" s="5">
        <v>1</v>
      </c>
      <c r="J5" s="5">
        <v>1</v>
      </c>
    </row>
    <row r="6" spans="2:10">
      <c r="B6" t="s">
        <v>67</v>
      </c>
      <c r="E6" s="5">
        <f>(E4/E3)*100</f>
        <v>95</v>
      </c>
    </row>
    <row r="7" spans="2:10">
      <c r="B7" t="s">
        <v>68</v>
      </c>
      <c r="E7" s="5">
        <f>(E5/E3)*100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2026-09-08T05:32:08Z</dcterms:created>
  <dcterms:modified xsi:type="dcterms:W3CDTF">2026-09-08T07:33:27Z</dcterms:modified>
  <cp:category/>
  <cp:contentStatus/>
</cp:coreProperties>
</file>